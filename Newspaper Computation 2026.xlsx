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a" sheetId="1" r:id="rId5"/>
    <sheet state="visible" name="SLT Price" sheetId="2" r:id="rId6"/>
    <sheet state="visible" name="SLB Price" sheetId="3" r:id="rId7"/>
    <sheet state="visible" name="EVMail Price" sheetId="4" r:id="rId8"/>
    <sheet state="visible" name="Krusada Price" sheetId="5" r:id="rId9"/>
    <sheet state="visible" name="Bandilyo" sheetId="6" r:id="rId10"/>
  </sheets>
  <definedNames/>
  <calcPr/>
</workbook>
</file>

<file path=xl/sharedStrings.xml><?xml version="1.0" encoding="utf-8"?>
<sst xmlns="http://schemas.openxmlformats.org/spreadsheetml/2006/main" count="145" uniqueCount="83">
  <si>
    <t>SLB New Rate Effective Jan 1, 2025</t>
  </si>
  <si>
    <t>FOR NORMAL PAGES and LOOSE PAGES</t>
  </si>
  <si>
    <t>Total Pages</t>
  </si>
  <si>
    <t># of Pages Colored</t>
  </si>
  <si>
    <t># of Pages BW</t>
  </si>
  <si>
    <t># of. Copies</t>
  </si>
  <si>
    <t>Printing Rates</t>
  </si>
  <si>
    <t>Sorting Charge</t>
  </si>
  <si>
    <t>Price Code</t>
  </si>
  <si>
    <t># of Copies</t>
  </si>
  <si>
    <t>NEWSPAPER-BW-01</t>
  </si>
  <si>
    <t>NEWSPAPER-BW-02</t>
  </si>
  <si>
    <t>SLT New rates effective January  1, 2025</t>
  </si>
  <si>
    <t>EVMail New Rate Effective January 1, 2025</t>
  </si>
  <si>
    <t># of Pages</t>
  </si>
  <si>
    <t>NEWSPAPER-BW-03</t>
  </si>
  <si>
    <t>NEWSPAPER-BW-04</t>
  </si>
  <si>
    <t># of Colored</t>
  </si>
  <si>
    <t>NEWSPAPER-BW-05</t>
  </si>
  <si>
    <t># of BW</t>
  </si>
  <si>
    <t>NEWSPAPER-BW-06</t>
  </si>
  <si>
    <t># of Pages FULL COLOR</t>
  </si>
  <si>
    <t>NEWSPAPER-BW-07</t>
  </si>
  <si>
    <t>NEWSPAPER-BW-08</t>
  </si>
  <si>
    <t>No VAT</t>
  </si>
  <si>
    <t>NEWSPAPER-BW-09</t>
  </si>
  <si>
    <t>New Rate Effective Jan 1 2025</t>
  </si>
  <si>
    <t>NEWSPAPER-BW-10</t>
  </si>
  <si>
    <t>NEWSPAPER-BW-11</t>
  </si>
  <si>
    <t>Number of Plates-Colored</t>
  </si>
  <si>
    <t>NEWSPAPER-BW-12</t>
  </si>
  <si>
    <t># of copies</t>
  </si>
  <si>
    <t># of pages</t>
  </si>
  <si>
    <t># of Black</t>
  </si>
  <si>
    <t>Present Rate</t>
  </si>
  <si>
    <t>NEWSPAPER-CW-01</t>
  </si>
  <si>
    <t>NEWSPAPER-CW-02</t>
  </si>
  <si>
    <t>NEWSPAPER-CW-02a</t>
  </si>
  <si>
    <t>NEWSPAPER-CW-03</t>
  </si>
  <si>
    <t>NEWSPAPER-CW-04</t>
  </si>
  <si>
    <t>NEWSPAPER-CW-05</t>
  </si>
  <si>
    <t>Price Per Plate</t>
  </si>
  <si>
    <t>NEWSPAPER-CW-06</t>
  </si>
  <si>
    <t>NEWSPAPER-CW-07</t>
  </si>
  <si>
    <t>Number of Plates - BW</t>
  </si>
  <si>
    <t>NEWSPAPER-CW-08</t>
  </si>
  <si>
    <t>NEWSPAPER-CW-09</t>
  </si>
  <si>
    <t>NEWSPAPER-CW-10</t>
  </si>
  <si>
    <t>Labor per Plate</t>
  </si>
  <si>
    <t>Loose Pages</t>
  </si>
  <si>
    <t>Copies</t>
  </si>
  <si>
    <t># Pages - BW</t>
  </si>
  <si>
    <t># of Pages - Colored</t>
  </si>
  <si>
    <t>Total Amt</t>
  </si>
  <si>
    <t>Paper</t>
  </si>
  <si>
    <t>Running</t>
  </si>
  <si>
    <t>Running per plate</t>
  </si>
  <si>
    <t>Percentage Margin</t>
  </si>
  <si>
    <t>Profit Margin</t>
  </si>
  <si>
    <t>Customer Price</t>
  </si>
  <si>
    <t>Price Per Copy</t>
  </si>
  <si>
    <t>Legend</t>
  </si>
  <si>
    <t>Blue Color</t>
  </si>
  <si>
    <t>To be Inputted by the User</t>
  </si>
  <si>
    <t>Maroon Color</t>
  </si>
  <si>
    <t>To be inputted by the Admin</t>
  </si>
  <si>
    <t>Pink</t>
  </si>
  <si>
    <t>Auto compute based on the formula</t>
  </si>
  <si>
    <t>Krusada New Rate Effective January 1, 2025</t>
  </si>
  <si>
    <t>New Rate effective Jan 1, 2025</t>
  </si>
  <si>
    <t>Price</t>
  </si>
  <si>
    <t>NEWSPAPER-BW-14a</t>
  </si>
  <si>
    <t>NEWSPAPER-BW-14</t>
  </si>
  <si>
    <t>NEWSPAPER-CW-00A</t>
  </si>
  <si>
    <t>NEWSPAPER-CW-00B</t>
  </si>
  <si>
    <t>NEWSPAPER-CW-00</t>
  </si>
  <si>
    <t>Bandilyo New Rate Effective January 1, 2025</t>
  </si>
  <si>
    <t>New Rate effective January 1, 2025 (No VAT)</t>
  </si>
  <si>
    <t>New Rate effective January 1, 2025 ( with VAT )</t>
  </si>
  <si>
    <t>NEWSPAPER-BW-06a</t>
  </si>
  <si>
    <t>NEWSPAPER-CW-08A</t>
  </si>
  <si>
    <t>NEWSPAPER-CW-08B</t>
  </si>
  <si>
    <t>NEWSPAPER-CW-08C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</si>
</sst>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FFFFFF"/>
      <name val="Calibri"/>
    </font>
    <font>
      <sz val="12.0"/>
      <color rgb="FF0000FF"/>
      <name val="Calibri"/>
    </font>
    <font>
      <sz val="12.0"/>
      <color theme="1"/>
      <name val="Calibri"/>
    </font>
    <font>
      <b/>
      <sz val="13.0"/>
      <color theme="1"/>
      <name val="Calibri"/>
    </font>
    <font/>
    <font>
      <sz val="12.0"/>
      <color rgb="FFFF00FF"/>
      <name val="Calibri"/>
    </font>
    <font>
      <sz val="13.0"/>
      <color theme="1"/>
      <name val="Calibri"/>
    </font>
    <font>
      <sz val="12.0"/>
      <color rgb="FF980000"/>
      <name val="Calibri"/>
    </font>
    <font>
      <sz val="12.0"/>
      <color rgb="FFC00000"/>
      <name val="Calibri"/>
    </font>
    <font>
      <b/>
      <sz val="13.0"/>
      <color rgb="FFFFFFFF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C55A11"/>
        <bgColor rgb="FFC55A11"/>
      </patternFill>
    </fill>
    <fill>
      <patternFill patternType="solid">
        <fgColor rgb="FF385623"/>
        <bgColor rgb="FF385623"/>
      </patternFill>
    </fill>
    <fill>
      <patternFill patternType="solid">
        <fgColor rgb="FF8EAADB"/>
        <bgColor rgb="FF8EAADB"/>
      </patternFill>
    </fill>
    <fill>
      <patternFill patternType="solid">
        <fgColor rgb="FF833C0B"/>
        <bgColor rgb="FF833C0B"/>
      </patternFill>
    </fill>
    <fill>
      <patternFill patternType="solid">
        <fgColor rgb="FF7030A0"/>
        <bgColor rgb="FF7030A0"/>
      </patternFill>
    </fill>
    <fill>
      <patternFill patternType="solid">
        <fgColor rgb="FF0070C0"/>
        <bgColor rgb="FF0070C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vertical="bottom"/>
    </xf>
    <xf borderId="0" fillId="2" fontId="2" numFmtId="0" xfId="0" applyAlignment="1" applyFont="1">
      <alignment vertical="bottom"/>
    </xf>
    <xf borderId="0" fillId="0" fontId="1" numFmtId="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1" fillId="3" fontId="5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center" readingOrder="0"/>
    </xf>
    <xf borderId="2" fillId="0" fontId="6" numFmtId="0" xfId="0" applyBorder="1" applyFont="1"/>
    <xf borderId="0" fillId="0" fontId="7" numFmtId="0" xfId="0" applyAlignment="1" applyFont="1">
      <alignment vertical="bottom"/>
    </xf>
    <xf borderId="3" fillId="0" fontId="6" numFmtId="0" xfId="0" applyBorder="1" applyFont="1"/>
    <xf borderId="0" fillId="0" fontId="7" numFmtId="0" xfId="0" applyAlignment="1" applyFont="1">
      <alignment horizontal="right" vertical="bottom"/>
    </xf>
    <xf borderId="0" fillId="3" fontId="4" numFmtId="0" xfId="0" applyAlignment="1" applyFont="1">
      <alignment vertical="bottom"/>
    </xf>
    <xf borderId="0" fillId="3" fontId="8" numFmtId="0" xfId="0" applyAlignment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4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7" numFmtId="164" xfId="0" applyAlignment="1" applyFont="1" applyNumberFormat="1">
      <alignment horizontal="right" vertical="bottom"/>
    </xf>
    <xf borderId="0" fillId="0" fontId="7" numFmtId="4" xfId="0" applyAlignment="1" applyFont="1" applyNumberFormat="1">
      <alignment horizontal="right" vertical="bottom"/>
    </xf>
    <xf borderId="0" fillId="0" fontId="4" numFmtId="164" xfId="0" applyAlignment="1" applyFont="1" applyNumberFormat="1">
      <alignment vertical="bottom"/>
    </xf>
    <xf borderId="0" fillId="2" fontId="4" numFmtId="0" xfId="0" applyAlignment="1" applyFont="1">
      <alignment vertical="bottom"/>
    </xf>
    <xf borderId="0" fillId="0" fontId="4" numFmtId="4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4" numFmtId="4" xfId="0" applyAlignment="1" applyFont="1" applyNumberFormat="1">
      <alignment horizontal="right" vertical="bottom"/>
    </xf>
    <xf borderId="1" fillId="0" fontId="5" numFmtId="0" xfId="0" applyAlignment="1" applyBorder="1" applyFont="1">
      <alignment horizontal="center" vertical="bottom"/>
    </xf>
    <xf borderId="4" fillId="0" fontId="4" numFmtId="0" xfId="0" applyAlignment="1" applyBorder="1" applyFont="1">
      <alignment vertical="bottom"/>
    </xf>
    <xf borderId="4" fillId="0" fontId="4" numFmtId="0" xfId="0" applyAlignment="1" applyBorder="1" applyFont="1">
      <alignment horizontal="center" vertical="bottom"/>
    </xf>
    <xf borderId="4" fillId="0" fontId="8" numFmtId="0" xfId="0" applyAlignment="1" applyBorder="1" applyFont="1">
      <alignment horizontal="center" readingOrder="0" shrinkToFit="0" vertical="bottom" wrapText="1"/>
    </xf>
    <xf borderId="4" fillId="4" fontId="10" numFmtId="0" xfId="0" applyAlignment="1" applyBorder="1" applyFill="1" applyFont="1">
      <alignment horizontal="center" vertical="bottom"/>
    </xf>
    <xf borderId="4" fillId="5" fontId="4" numFmtId="0" xfId="0" applyAlignment="1" applyBorder="1" applyFill="1" applyFont="1">
      <alignment vertical="bottom"/>
    </xf>
    <xf borderId="4" fillId="5" fontId="2" numFmtId="0" xfId="0" applyAlignment="1" applyBorder="1" applyFont="1">
      <alignment horizontal="center" vertical="bottom"/>
    </xf>
    <xf borderId="4" fillId="0" fontId="4" numFmtId="164" xfId="0" applyAlignment="1" applyBorder="1" applyFont="1" applyNumberFormat="1">
      <alignment horizontal="center" vertical="bottom"/>
    </xf>
    <xf borderId="4" fillId="0" fontId="4" numFmtId="164" xfId="0" applyAlignment="1" applyBorder="1" applyFont="1" applyNumberFormat="1">
      <alignment vertical="bottom"/>
    </xf>
    <xf borderId="4" fillId="6" fontId="4" numFmtId="0" xfId="0" applyAlignment="1" applyBorder="1" applyFill="1" applyFont="1">
      <alignment vertical="bottom"/>
    </xf>
    <xf borderId="4" fillId="6" fontId="2" numFmtId="0" xfId="0" applyAlignment="1" applyBorder="1" applyFont="1">
      <alignment horizontal="center" vertical="bottom"/>
    </xf>
    <xf borderId="4" fillId="7" fontId="2" numFmtId="0" xfId="0" applyAlignment="1" applyBorder="1" applyFill="1" applyFont="1">
      <alignment horizontal="center" vertical="bottom"/>
    </xf>
    <xf borderId="4" fillId="7" fontId="4" numFmtId="0" xfId="0" applyAlignment="1" applyBorder="1" applyFont="1">
      <alignment vertical="bottom"/>
    </xf>
    <xf borderId="4" fillId="4" fontId="4" numFmtId="0" xfId="0" applyAlignment="1" applyBorder="1" applyFont="1">
      <alignment vertical="bottom"/>
    </xf>
    <xf borderId="4" fillId="8" fontId="4" numFmtId="0" xfId="0" applyAlignment="1" applyBorder="1" applyFill="1" applyFont="1">
      <alignment vertical="bottom"/>
    </xf>
    <xf borderId="4" fillId="8" fontId="2" numFmtId="0" xfId="0" applyAlignment="1" applyBorder="1" applyFont="1">
      <alignment horizontal="center" vertical="bottom"/>
    </xf>
    <xf borderId="4" fillId="9" fontId="4" numFmtId="0" xfId="0" applyAlignment="1" applyBorder="1" applyFill="1" applyFont="1">
      <alignment vertical="bottom"/>
    </xf>
    <xf borderId="4" fillId="9" fontId="2" numFmtId="0" xfId="0" applyAlignment="1" applyBorder="1" applyFont="1">
      <alignment horizontal="center" vertical="bottom"/>
    </xf>
    <xf borderId="4" fillId="10" fontId="2" numFmtId="0" xfId="0" applyAlignment="1" applyBorder="1" applyFill="1" applyFont="1">
      <alignment horizontal="center" vertical="bottom"/>
    </xf>
    <xf borderId="4" fillId="11" fontId="2" numFmtId="0" xfId="0" applyAlignment="1" applyBorder="1" applyFill="1" applyFont="1">
      <alignment horizontal="center" vertical="bottom"/>
    </xf>
    <xf borderId="5" fillId="11" fontId="2" numFmtId="0" xfId="0" applyAlignment="1" applyBorder="1" applyFont="1">
      <alignment horizontal="center" vertical="bottom"/>
    </xf>
    <xf borderId="6" fillId="11" fontId="2" numFmtId="0" xfId="0" applyAlignment="1" applyBorder="1" applyFont="1">
      <alignment horizontal="center" vertical="bottom"/>
    </xf>
    <xf borderId="4" fillId="5" fontId="11" numFmtId="164" xfId="0" applyAlignment="1" applyBorder="1" applyFont="1" applyNumberFormat="1">
      <alignment horizontal="center" vertical="bottom"/>
    </xf>
    <xf borderId="4" fillId="4" fontId="4" numFmtId="164" xfId="0" applyAlignment="1" applyBorder="1" applyFont="1" applyNumberFormat="1">
      <alignment vertical="bottom"/>
    </xf>
    <xf borderId="4" fillId="0" fontId="4" numFmtId="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5" max="5" width="16.25"/>
  </cols>
  <sheetData>
    <row r="1">
      <c r="A1" s="2" t="s">
        <v>1</v>
      </c>
      <c r="E1" s="3"/>
      <c r="F1" s="3"/>
    </row>
    <row r="2">
      <c r="A2" s="5" t="s">
        <v>9</v>
      </c>
      <c r="B2" s="6">
        <v>300.0</v>
      </c>
      <c r="C2" s="5" t="s">
        <v>14</v>
      </c>
      <c r="D2" s="6">
        <v>12.0</v>
      </c>
      <c r="E2" s="7"/>
      <c r="F2" s="7"/>
    </row>
    <row r="3">
      <c r="A3" s="5" t="s">
        <v>17</v>
      </c>
      <c r="B3" s="6">
        <v>8.0</v>
      </c>
      <c r="C3" s="11" t="s">
        <v>19</v>
      </c>
      <c r="D3" s="13">
        <v>4.0</v>
      </c>
      <c r="E3" s="7"/>
      <c r="F3" s="7"/>
    </row>
    <row r="4">
      <c r="A4" s="11" t="s">
        <v>29</v>
      </c>
      <c r="B4" s="13">
        <f>B3/2*4</f>
        <v>16</v>
      </c>
      <c r="C4" s="13">
        <f>B4*F4</f>
        <v>6400</v>
      </c>
      <c r="D4" s="7"/>
      <c r="E4" s="18" t="s">
        <v>41</v>
      </c>
      <c r="F4" s="19">
        <v>400.0</v>
      </c>
    </row>
    <row r="5">
      <c r="A5" s="11" t="s">
        <v>44</v>
      </c>
      <c r="B5" s="13">
        <f>D3/2</f>
        <v>2</v>
      </c>
      <c r="C5" s="13">
        <f t="shared" ref="C5:C8" si="1">B5*F4</f>
        <v>800</v>
      </c>
      <c r="D5" s="7"/>
      <c r="E5" s="18" t="s">
        <v>48</v>
      </c>
      <c r="F5" s="19">
        <v>150.0</v>
      </c>
    </row>
    <row r="6">
      <c r="A6" s="11" t="s">
        <v>48</v>
      </c>
      <c r="B6" s="13">
        <f>SUM(B4:B5)</f>
        <v>18</v>
      </c>
      <c r="C6" s="13">
        <f t="shared" si="1"/>
        <v>2700</v>
      </c>
      <c r="D6" s="7"/>
      <c r="E6" s="18" t="s">
        <v>54</v>
      </c>
      <c r="F6" s="19">
        <v>0.7</v>
      </c>
    </row>
    <row r="7">
      <c r="A7" s="11" t="s">
        <v>54</v>
      </c>
      <c r="B7" s="13">
        <f>B2*D2</f>
        <v>3600</v>
      </c>
      <c r="C7" s="13">
        <f t="shared" si="1"/>
        <v>2520</v>
      </c>
      <c r="D7" s="7"/>
      <c r="E7" s="18" t="s">
        <v>55</v>
      </c>
      <c r="F7" s="19">
        <v>425.0</v>
      </c>
    </row>
    <row r="8">
      <c r="A8" s="11" t="s">
        <v>56</v>
      </c>
      <c r="B8" s="13">
        <f>B6</f>
        <v>18</v>
      </c>
      <c r="C8" s="13">
        <f t="shared" si="1"/>
        <v>7650</v>
      </c>
      <c r="D8" s="7"/>
      <c r="E8" s="18" t="s">
        <v>57</v>
      </c>
      <c r="F8" s="19">
        <v>0.5</v>
      </c>
    </row>
    <row r="9">
      <c r="A9" s="7"/>
      <c r="B9" s="7"/>
      <c r="C9" s="20">
        <f>SUM(C4:C8)</f>
        <v>20070</v>
      </c>
      <c r="D9" s="7"/>
      <c r="E9" s="7"/>
      <c r="F9" s="7"/>
    </row>
    <row r="10">
      <c r="A10" s="11" t="s">
        <v>58</v>
      </c>
      <c r="B10" s="7"/>
      <c r="C10" s="21">
        <f>C9*F8</f>
        <v>10035</v>
      </c>
      <c r="D10" s="22"/>
      <c r="E10" s="7"/>
      <c r="F10" s="7"/>
    </row>
    <row r="11">
      <c r="A11" s="11" t="s">
        <v>59</v>
      </c>
      <c r="B11" s="7"/>
      <c r="C11" s="21">
        <f>SUM(C9:C10)</f>
        <v>30105</v>
      </c>
      <c r="D11" s="7"/>
      <c r="E11" s="7"/>
      <c r="F11" s="7"/>
    </row>
    <row r="12">
      <c r="A12" s="11" t="s">
        <v>60</v>
      </c>
      <c r="B12" s="7"/>
      <c r="C12" s="21">
        <f>C11/B2</f>
        <v>100.35</v>
      </c>
      <c r="D12" s="7"/>
      <c r="E12" s="7"/>
      <c r="F12" s="7"/>
    </row>
    <row r="13">
      <c r="A13" s="7"/>
      <c r="B13" s="7"/>
      <c r="C13" s="7"/>
      <c r="D13" s="7"/>
      <c r="E13" s="7"/>
      <c r="F13" s="7"/>
    </row>
    <row r="14">
      <c r="A14" s="7"/>
      <c r="B14" s="7"/>
      <c r="C14" s="7"/>
      <c r="D14" s="7"/>
      <c r="E14" s="7"/>
      <c r="F14" s="7"/>
    </row>
    <row r="15">
      <c r="A15" s="3" t="s">
        <v>61</v>
      </c>
      <c r="B15" s="23"/>
      <c r="C15" s="23"/>
      <c r="D15" s="23"/>
      <c r="E15" s="7"/>
      <c r="F15" s="7"/>
    </row>
    <row r="16">
      <c r="A16" s="5" t="s">
        <v>62</v>
      </c>
      <c r="B16" s="5" t="s">
        <v>63</v>
      </c>
      <c r="E16" s="7"/>
      <c r="F16" s="7"/>
    </row>
    <row r="17">
      <c r="A17" s="18" t="s">
        <v>64</v>
      </c>
      <c r="B17" s="18" t="s">
        <v>65</v>
      </c>
      <c r="E17" s="7"/>
      <c r="F17" s="7"/>
    </row>
    <row r="18">
      <c r="A18" s="11" t="s">
        <v>66</v>
      </c>
      <c r="B18" s="11" t="s">
        <v>67</v>
      </c>
      <c r="E18" s="7"/>
      <c r="F18" s="7"/>
    </row>
  </sheetData>
  <mergeCells count="4">
    <mergeCell ref="A1:D1"/>
    <mergeCell ref="B16:D16"/>
    <mergeCell ref="B17:D17"/>
    <mergeCell ref="B18:D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3.88"/>
  </cols>
  <sheetData>
    <row r="1">
      <c r="A1" s="1" t="s">
        <v>12</v>
      </c>
    </row>
    <row r="2">
      <c r="A2" s="1" t="s">
        <v>2</v>
      </c>
      <c r="B2" s="1" t="s">
        <v>21</v>
      </c>
      <c r="C2" s="1" t="s">
        <v>4</v>
      </c>
      <c r="D2" s="1" t="s">
        <v>5</v>
      </c>
      <c r="E2" s="9" t="s">
        <v>24</v>
      </c>
      <c r="F2" s="9" t="s">
        <v>26</v>
      </c>
    </row>
    <row r="3">
      <c r="A3" s="1">
        <v>4.0</v>
      </c>
      <c r="C3" s="1">
        <v>4.0</v>
      </c>
      <c r="D3" s="1">
        <v>300.0</v>
      </c>
      <c r="E3" s="4">
        <v>4363.74</v>
      </c>
      <c r="F3" s="4">
        <v>4958.8</v>
      </c>
    </row>
    <row r="4">
      <c r="A4" s="1">
        <v>4.0</v>
      </c>
      <c r="C4" s="1">
        <v>4.0</v>
      </c>
      <c r="D4" s="1">
        <v>700.0</v>
      </c>
      <c r="E4" s="4">
        <v>5610.53</v>
      </c>
      <c r="F4" s="4">
        <v>6375.6</v>
      </c>
    </row>
    <row r="5">
      <c r="A5" s="1">
        <v>6.0</v>
      </c>
      <c r="C5" s="1">
        <v>6.0</v>
      </c>
      <c r="D5" s="1">
        <v>300.0</v>
      </c>
      <c r="E5" s="4">
        <v>5984.56</v>
      </c>
      <c r="F5" s="4">
        <v>6800.64</v>
      </c>
    </row>
    <row r="6">
      <c r="A6" s="1">
        <v>6.0</v>
      </c>
      <c r="C6" s="1">
        <v>6.0</v>
      </c>
      <c r="D6" s="1">
        <v>400.0</v>
      </c>
      <c r="E6" s="4">
        <v>6483.28</v>
      </c>
      <c r="F6" s="4">
        <v>7367.36</v>
      </c>
    </row>
    <row r="7">
      <c r="A7" s="1">
        <v>6.0</v>
      </c>
      <c r="C7" s="1">
        <v>6.0</v>
      </c>
      <c r="D7" s="1">
        <v>500.0</v>
      </c>
      <c r="E7" s="4">
        <v>6981.99</v>
      </c>
      <c r="F7" s="4">
        <v>7934.08</v>
      </c>
    </row>
    <row r="8">
      <c r="A8" s="1">
        <v>6.0</v>
      </c>
      <c r="B8" s="1">
        <v>2.0</v>
      </c>
      <c r="C8" s="1">
        <v>4.0</v>
      </c>
      <c r="D8" s="1">
        <v>300.0</v>
      </c>
      <c r="E8" s="4">
        <v>10098.95</v>
      </c>
      <c r="F8" s="4">
        <v>11476.08</v>
      </c>
    </row>
    <row r="9">
      <c r="A9" s="1">
        <v>6.0</v>
      </c>
      <c r="B9" s="1">
        <v>2.0</v>
      </c>
      <c r="C9" s="1">
        <v>4.0</v>
      </c>
      <c r="D9" s="1">
        <v>700.0</v>
      </c>
      <c r="E9" s="4">
        <v>12717.2</v>
      </c>
      <c r="F9" s="4">
        <v>14451.36</v>
      </c>
    </row>
    <row r="10">
      <c r="A10" s="1">
        <v>6.0</v>
      </c>
      <c r="C10" s="1">
        <v>6.0</v>
      </c>
      <c r="D10" s="1">
        <v>300.0</v>
      </c>
      <c r="E10" s="4">
        <v>5984.56</v>
      </c>
      <c r="F10" s="4">
        <v>6800.64</v>
      </c>
    </row>
    <row r="11">
      <c r="A11" s="1">
        <v>6.0</v>
      </c>
      <c r="C11" s="1">
        <v>6.0</v>
      </c>
      <c r="D11" s="1">
        <v>700.0</v>
      </c>
      <c r="E11" s="4">
        <v>8478.13</v>
      </c>
      <c r="F11" s="4">
        <v>9634.24</v>
      </c>
    </row>
    <row r="12">
      <c r="A12" s="1">
        <v>6.0</v>
      </c>
      <c r="B12" s="1">
        <v>4.0</v>
      </c>
      <c r="C12" s="1">
        <v>2.0</v>
      </c>
      <c r="D12" s="1">
        <v>300.0</v>
      </c>
      <c r="E12" s="4">
        <v>15818.88</v>
      </c>
      <c r="F12" s="4">
        <v>17976.0</v>
      </c>
    </row>
    <row r="13">
      <c r="A13" s="1">
        <v>8.0</v>
      </c>
      <c r="C13" s="1">
        <v>8.0</v>
      </c>
      <c r="D13" s="1">
        <v>300.0</v>
      </c>
      <c r="E13" s="4">
        <v>7231.35</v>
      </c>
      <c r="F13" s="4">
        <v>8217.44</v>
      </c>
    </row>
    <row r="14">
      <c r="A14" s="1">
        <v>8.0</v>
      </c>
      <c r="C14" s="1">
        <v>8.0</v>
      </c>
      <c r="D14" s="1">
        <v>400.0</v>
      </c>
      <c r="E14" s="4">
        <v>7854.74</v>
      </c>
      <c r="F14" s="4">
        <v>8925.84</v>
      </c>
    </row>
    <row r="15">
      <c r="A15" s="1">
        <v>8.0</v>
      </c>
      <c r="C15" s="1">
        <v>8.0</v>
      </c>
      <c r="D15" s="1">
        <v>500.0</v>
      </c>
      <c r="E15" s="4">
        <v>8602.81</v>
      </c>
      <c r="F15" s="4">
        <v>9775.92</v>
      </c>
    </row>
    <row r="16">
      <c r="A16" s="1">
        <v>8.0</v>
      </c>
      <c r="B16" s="1">
        <v>2.0</v>
      </c>
      <c r="C16" s="1">
        <v>6.0</v>
      </c>
      <c r="D16" s="1">
        <v>300.0</v>
      </c>
      <c r="E16" s="4">
        <v>11470.41</v>
      </c>
      <c r="F16" s="4">
        <v>13034.56</v>
      </c>
    </row>
    <row r="17">
      <c r="A17" s="1">
        <v>8.0</v>
      </c>
      <c r="B17" s="1">
        <v>2.0</v>
      </c>
      <c r="C17" s="1">
        <v>6.0</v>
      </c>
      <c r="D17" s="1">
        <v>400.0</v>
      </c>
      <c r="E17" s="4">
        <v>12796.54</v>
      </c>
      <c r="F17" s="4">
        <v>14541.52</v>
      </c>
    </row>
    <row r="18">
      <c r="A18" s="1">
        <v>10.0</v>
      </c>
      <c r="C18" s="1">
        <v>10.0</v>
      </c>
      <c r="D18" s="1">
        <v>300.0</v>
      </c>
      <c r="E18" s="4">
        <v>9849.59</v>
      </c>
      <c r="F18" s="4">
        <v>11192.72</v>
      </c>
    </row>
    <row r="19">
      <c r="A19" s="1">
        <v>12.0</v>
      </c>
      <c r="C19" s="1">
        <v>12.0</v>
      </c>
      <c r="D19" s="1">
        <v>300.0</v>
      </c>
      <c r="E19" s="4">
        <v>11969.13</v>
      </c>
      <c r="F19" s="4">
        <v>13601.28</v>
      </c>
    </row>
    <row r="20">
      <c r="A20" s="1">
        <v>12.0</v>
      </c>
      <c r="C20" s="1">
        <v>12.0</v>
      </c>
      <c r="D20" s="1">
        <v>400.0</v>
      </c>
      <c r="E20" s="4">
        <v>12966.55</v>
      </c>
      <c r="F20" s="4">
        <v>14734.72</v>
      </c>
    </row>
    <row r="21">
      <c r="A21" s="1">
        <v>12.0</v>
      </c>
      <c r="C21" s="1">
        <v>12.0</v>
      </c>
      <c r="D21" s="1">
        <v>500.0</v>
      </c>
      <c r="E21" s="4">
        <v>13963.98</v>
      </c>
      <c r="F21" s="4">
        <v>15868.16</v>
      </c>
    </row>
    <row r="22">
      <c r="A22" s="1">
        <v>12.0</v>
      </c>
      <c r="B22" s="1">
        <v>6.0</v>
      </c>
      <c r="C22" s="1">
        <v>6.0</v>
      </c>
      <c r="D22" s="1">
        <v>350.0</v>
      </c>
      <c r="E22" s="4">
        <v>21818.72</v>
      </c>
      <c r="F22" s="4">
        <v>24794.0</v>
      </c>
    </row>
    <row r="23">
      <c r="A23" s="1">
        <v>14.0</v>
      </c>
      <c r="C23" s="1">
        <v>14.0</v>
      </c>
      <c r="D23" s="1">
        <v>300.0</v>
      </c>
      <c r="E23" s="4">
        <v>13963.98</v>
      </c>
      <c r="F23" s="4">
        <v>15868.16</v>
      </c>
    </row>
    <row r="24">
      <c r="A24" s="1">
        <v>14.0</v>
      </c>
      <c r="C24" s="1">
        <v>14.0</v>
      </c>
      <c r="D24" s="1">
        <v>400.0</v>
      </c>
      <c r="E24" s="4">
        <v>15086.09</v>
      </c>
      <c r="F24" s="4">
        <v>17143.28</v>
      </c>
    </row>
    <row r="25">
      <c r="A25" s="1">
        <v>14.0</v>
      </c>
      <c r="C25" s="1">
        <v>14.0</v>
      </c>
      <c r="D25" s="1">
        <v>500.0</v>
      </c>
      <c r="E25" s="4">
        <v>16208.19</v>
      </c>
      <c r="F25" s="4">
        <v>18418.4</v>
      </c>
    </row>
    <row r="26">
      <c r="A26" s="1">
        <v>16.0</v>
      </c>
      <c r="C26" s="1">
        <v>16.0</v>
      </c>
      <c r="D26" s="1">
        <v>300.0</v>
      </c>
      <c r="E26" s="4">
        <v>17298.0</v>
      </c>
      <c r="F26" s="4">
        <v>19373.76</v>
      </c>
    </row>
    <row r="27">
      <c r="A27" s="1">
        <v>18.0</v>
      </c>
      <c r="C27" s="1">
        <v>18.0</v>
      </c>
      <c r="D27" s="1">
        <v>300.0</v>
      </c>
      <c r="E27" s="4">
        <v>17704.33</v>
      </c>
      <c r="F27" s="4">
        <v>20118.56</v>
      </c>
    </row>
    <row r="28">
      <c r="A28" s="1">
        <v>18.0</v>
      </c>
      <c r="B28" s="1">
        <v>6.0</v>
      </c>
      <c r="C28" s="1">
        <v>12.0</v>
      </c>
      <c r="D28" s="1">
        <v>300.0</v>
      </c>
      <c r="E28" s="4">
        <v>29094.12</v>
      </c>
      <c r="F28" s="4">
        <v>33061.5</v>
      </c>
    </row>
    <row r="29">
      <c r="A29" s="1">
        <v>22.0</v>
      </c>
      <c r="C29" s="1">
        <v>22.0</v>
      </c>
      <c r="D29" s="1">
        <v>300.0</v>
      </c>
      <c r="E29" s="4">
        <v>21818.72</v>
      </c>
      <c r="F29" s="4">
        <v>24794.0</v>
      </c>
    </row>
    <row r="30">
      <c r="A30" s="1">
        <v>20.0</v>
      </c>
      <c r="C30" s="1">
        <v>20.0</v>
      </c>
      <c r="D30" s="1">
        <v>300.0</v>
      </c>
      <c r="E30" s="4">
        <v>19325.15</v>
      </c>
      <c r="F30" s="4">
        <v>21960.4</v>
      </c>
    </row>
    <row r="31">
      <c r="A31" s="1">
        <v>30.0</v>
      </c>
      <c r="C31" s="1">
        <v>30.0</v>
      </c>
      <c r="D31" s="1">
        <v>300.0</v>
      </c>
      <c r="E31" s="4">
        <v>28240.0</v>
      </c>
      <c r="F31" s="4">
        <v>31628.8</v>
      </c>
    </row>
    <row r="32">
      <c r="A32" s="1">
        <v>8.0</v>
      </c>
      <c r="B32" s="1">
        <v>2.0</v>
      </c>
      <c r="C32" s="1">
        <v>6.0</v>
      </c>
      <c r="D32" s="1">
        <v>400.0</v>
      </c>
      <c r="E32" s="4">
        <v>12796.54</v>
      </c>
      <c r="F32" s="4">
        <v>14541.52</v>
      </c>
    </row>
    <row r="33">
      <c r="A33" s="1">
        <v>8.0</v>
      </c>
      <c r="B33" s="1">
        <v>2.0</v>
      </c>
      <c r="C33" s="1">
        <v>6.0</v>
      </c>
      <c r="D33" s="1">
        <v>500.0</v>
      </c>
      <c r="E33" s="4">
        <v>10597.66</v>
      </c>
      <c r="F33" s="4">
        <v>12042.8</v>
      </c>
    </row>
    <row r="34">
      <c r="A34" s="1">
        <v>8.0</v>
      </c>
      <c r="B34" s="1">
        <v>4.0</v>
      </c>
      <c r="C34" s="1">
        <v>4.0</v>
      </c>
      <c r="D34" s="1">
        <v>300.0</v>
      </c>
      <c r="E34" s="4">
        <v>14462.69</v>
      </c>
      <c r="F34" s="4">
        <v>16434.88</v>
      </c>
    </row>
    <row r="35">
      <c r="A35" s="1">
        <v>8.0</v>
      </c>
      <c r="B35" s="1">
        <v>4.0</v>
      </c>
      <c r="C35" s="1">
        <v>4.0</v>
      </c>
      <c r="D35" s="1">
        <v>400.0</v>
      </c>
      <c r="E35" s="4">
        <v>15086.09</v>
      </c>
      <c r="F35" s="4">
        <v>17143.28</v>
      </c>
    </row>
    <row r="36">
      <c r="A36" s="1">
        <v>10.0</v>
      </c>
      <c r="B36" s="1">
        <v>4.0</v>
      </c>
      <c r="C36" s="1">
        <v>6.0</v>
      </c>
      <c r="D36" s="1">
        <v>300.0</v>
      </c>
      <c r="E36" s="4">
        <v>19948.54</v>
      </c>
      <c r="F36" s="4">
        <v>22668.8</v>
      </c>
    </row>
    <row r="37">
      <c r="A37" s="1">
        <v>10.0</v>
      </c>
      <c r="B37" s="1">
        <v>6.0</v>
      </c>
      <c r="C37" s="1">
        <v>4.0</v>
      </c>
      <c r="D37" s="1">
        <v>400.0</v>
      </c>
      <c r="E37" s="4">
        <v>20821.29</v>
      </c>
      <c r="F37" s="4">
        <v>23660.56</v>
      </c>
    </row>
    <row r="38">
      <c r="A38" s="1">
        <v>10.0</v>
      </c>
      <c r="B38" s="1">
        <v>6.0</v>
      </c>
      <c r="C38" s="1">
        <v>4.0</v>
      </c>
      <c r="D38" s="1">
        <v>300.0</v>
      </c>
      <c r="E38" s="4">
        <v>20129.89</v>
      </c>
      <c r="F38" s="4">
        <v>22874.88</v>
      </c>
    </row>
    <row r="39">
      <c r="A39" s="1">
        <v>10.0</v>
      </c>
      <c r="B39" s="1">
        <v>2.0</v>
      </c>
      <c r="C39" s="1">
        <v>8.0</v>
      </c>
      <c r="D39" s="1">
        <v>300.0</v>
      </c>
      <c r="E39" s="4">
        <v>12966.55</v>
      </c>
      <c r="F39" s="4">
        <v>14734.72</v>
      </c>
    </row>
    <row r="40">
      <c r="A40" s="1">
        <v>12.0</v>
      </c>
      <c r="B40" s="1">
        <v>2.0</v>
      </c>
      <c r="C40" s="1">
        <v>10.0</v>
      </c>
      <c r="D40" s="1">
        <v>300.0</v>
      </c>
      <c r="E40" s="4">
        <v>16083.51</v>
      </c>
      <c r="F40" s="4">
        <v>18276.72</v>
      </c>
    </row>
    <row r="41">
      <c r="A41" s="1">
        <v>12.0</v>
      </c>
      <c r="B41" s="1">
        <v>2.0</v>
      </c>
      <c r="C41" s="1">
        <v>10.0</v>
      </c>
      <c r="D41" s="1">
        <v>400.0</v>
      </c>
      <c r="E41" s="4">
        <v>17205.62</v>
      </c>
      <c r="F41" s="4">
        <v>19551.84</v>
      </c>
    </row>
    <row r="42">
      <c r="A42" s="1">
        <v>12.0</v>
      </c>
      <c r="B42" s="1">
        <v>4.0</v>
      </c>
      <c r="C42" s="1">
        <v>8.0</v>
      </c>
      <c r="D42" s="1">
        <v>300.0</v>
      </c>
      <c r="E42" s="4">
        <v>18452.4</v>
      </c>
      <c r="F42" s="4">
        <v>20968.64</v>
      </c>
    </row>
    <row r="43">
      <c r="A43" s="1">
        <v>12.0</v>
      </c>
      <c r="B43" s="1">
        <v>8.0</v>
      </c>
      <c r="C43" s="1">
        <v>4.0</v>
      </c>
      <c r="D43" s="1">
        <v>400.0</v>
      </c>
      <c r="E43" s="4">
        <v>26805.86</v>
      </c>
      <c r="F43" s="4">
        <v>30461.2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6.25"/>
    <col customWidth="1" min="7" max="7" width="18.13"/>
  </cols>
  <sheetData>
    <row r="1">
      <c r="A1" s="1" t="s">
        <v>0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>
      <c r="A3" s="1">
        <v>6.0</v>
      </c>
      <c r="C3" s="1">
        <v>6.0</v>
      </c>
      <c r="D3" s="1">
        <v>300.0</v>
      </c>
      <c r="E3" s="4">
        <v>5984.56</v>
      </c>
      <c r="F3" s="1">
        <v>300.0</v>
      </c>
      <c r="G3" s="1" t="s">
        <v>10</v>
      </c>
    </row>
    <row r="4">
      <c r="A4" s="1">
        <v>6.0</v>
      </c>
      <c r="C4" s="1">
        <v>6.0</v>
      </c>
      <c r="D4" s="1">
        <v>400.0</v>
      </c>
      <c r="E4" s="4">
        <v>6483.28</v>
      </c>
      <c r="F4" s="1">
        <v>300.0</v>
      </c>
      <c r="G4" s="1" t="s">
        <v>11</v>
      </c>
    </row>
    <row r="5">
      <c r="A5" s="1">
        <v>6.0</v>
      </c>
      <c r="C5" s="1">
        <v>6.0</v>
      </c>
      <c r="D5" s="1">
        <v>500.0</v>
      </c>
      <c r="E5" s="4">
        <v>6981.99</v>
      </c>
      <c r="F5" s="1">
        <v>300.0</v>
      </c>
      <c r="G5" s="1" t="s">
        <v>15</v>
      </c>
    </row>
    <row r="6">
      <c r="A6" s="1">
        <v>8.0</v>
      </c>
      <c r="C6" s="1">
        <v>8.0</v>
      </c>
      <c r="D6" s="1">
        <v>300.0</v>
      </c>
      <c r="E6" s="4">
        <v>7231.35</v>
      </c>
      <c r="F6" s="1">
        <v>300.0</v>
      </c>
      <c r="G6" s="1" t="s">
        <v>16</v>
      </c>
    </row>
    <row r="7">
      <c r="A7" s="1">
        <v>8.0</v>
      </c>
      <c r="C7" s="1">
        <v>8.0</v>
      </c>
      <c r="D7" s="1">
        <v>400.0</v>
      </c>
      <c r="E7" s="4">
        <v>7854.74</v>
      </c>
      <c r="F7" s="1">
        <v>300.0</v>
      </c>
      <c r="G7" s="1" t="s">
        <v>18</v>
      </c>
    </row>
    <row r="8">
      <c r="A8" s="1">
        <v>8.0</v>
      </c>
      <c r="C8" s="1">
        <v>8.0</v>
      </c>
      <c r="D8" s="1">
        <v>500.0</v>
      </c>
      <c r="E8" s="4">
        <v>8602.81</v>
      </c>
      <c r="F8" s="1">
        <v>300.0</v>
      </c>
      <c r="G8" s="1" t="s">
        <v>20</v>
      </c>
    </row>
    <row r="9">
      <c r="A9" s="1">
        <v>12.0</v>
      </c>
      <c r="C9" s="1">
        <v>12.0</v>
      </c>
      <c r="D9" s="1">
        <v>300.0</v>
      </c>
      <c r="E9" s="4">
        <v>11969.13</v>
      </c>
      <c r="F9" s="1">
        <v>300.0</v>
      </c>
      <c r="G9" s="1" t="s">
        <v>22</v>
      </c>
    </row>
    <row r="10">
      <c r="A10" s="1">
        <v>12.0</v>
      </c>
      <c r="C10" s="1">
        <v>12.0</v>
      </c>
      <c r="D10" s="1">
        <v>400.0</v>
      </c>
      <c r="E10" s="4">
        <v>12966.55</v>
      </c>
      <c r="F10" s="1">
        <v>300.0</v>
      </c>
      <c r="G10" s="1" t="s">
        <v>23</v>
      </c>
    </row>
    <row r="11">
      <c r="A11" s="1">
        <v>12.0</v>
      </c>
      <c r="C11" s="1">
        <v>12.0</v>
      </c>
      <c r="D11" s="1">
        <v>500.0</v>
      </c>
      <c r="E11" s="4">
        <v>13963.98</v>
      </c>
      <c r="F11" s="1">
        <v>300.0</v>
      </c>
      <c r="G11" s="1" t="s">
        <v>25</v>
      </c>
    </row>
    <row r="12">
      <c r="A12" s="1">
        <v>12.0</v>
      </c>
      <c r="B12" s="1">
        <v>2.0</v>
      </c>
      <c r="C12" s="1">
        <v>10.0</v>
      </c>
      <c r="D12" s="1">
        <v>300.0</v>
      </c>
      <c r="E12" s="4">
        <v>16457.55</v>
      </c>
      <c r="F12" s="1">
        <v>300.0</v>
      </c>
    </row>
    <row r="13">
      <c r="A13" s="1">
        <v>12.0</v>
      </c>
      <c r="B13" s="1">
        <v>2.0</v>
      </c>
      <c r="C13" s="1">
        <v>10.0</v>
      </c>
      <c r="D13" s="1">
        <v>200.0</v>
      </c>
      <c r="E13" s="4">
        <v>15264.0</v>
      </c>
      <c r="F13" s="1">
        <v>300.0</v>
      </c>
    </row>
    <row r="14">
      <c r="A14" s="1">
        <v>14.0</v>
      </c>
      <c r="C14" s="1">
        <v>14.0</v>
      </c>
      <c r="D14" s="1">
        <v>300.0</v>
      </c>
      <c r="E14" s="4">
        <v>13963.98</v>
      </c>
      <c r="F14" s="1">
        <v>300.0</v>
      </c>
      <c r="G14" s="1" t="s">
        <v>27</v>
      </c>
    </row>
    <row r="15">
      <c r="A15" s="1">
        <v>14.0</v>
      </c>
      <c r="C15" s="1">
        <v>14.0</v>
      </c>
      <c r="D15" s="1">
        <v>400.0</v>
      </c>
      <c r="E15" s="4">
        <v>15086.09</v>
      </c>
      <c r="F15" s="1">
        <v>300.0</v>
      </c>
      <c r="G15" s="1" t="s">
        <v>28</v>
      </c>
    </row>
    <row r="16">
      <c r="A16" s="1">
        <v>14.0</v>
      </c>
      <c r="C16" s="1">
        <v>14.0</v>
      </c>
      <c r="D16" s="1">
        <v>500.0</v>
      </c>
      <c r="E16" s="4">
        <v>16208.19</v>
      </c>
      <c r="F16" s="1">
        <v>300.0</v>
      </c>
      <c r="G16" s="1" t="s">
        <v>30</v>
      </c>
    </row>
    <row r="17">
      <c r="A17" s="1">
        <v>16.0</v>
      </c>
      <c r="C17" s="1">
        <v>16.0</v>
      </c>
      <c r="D17" s="1">
        <v>300.0</v>
      </c>
      <c r="E17" s="4">
        <v>15210.76</v>
      </c>
      <c r="F17" s="1">
        <v>300.0</v>
      </c>
    </row>
    <row r="18">
      <c r="A18" s="1">
        <v>16.0</v>
      </c>
      <c r="B18" s="1">
        <v>2.0</v>
      </c>
      <c r="C18" s="1">
        <v>14.0</v>
      </c>
      <c r="D18" s="1">
        <v>300.0</v>
      </c>
      <c r="E18" s="4">
        <v>17205.62</v>
      </c>
      <c r="F18" s="1">
        <v>300.0</v>
      </c>
    </row>
    <row r="19">
      <c r="A19" s="1">
        <v>8.0</v>
      </c>
      <c r="B19" s="1">
        <v>2.0</v>
      </c>
      <c r="C19" s="1">
        <v>6.0</v>
      </c>
      <c r="D19" s="1">
        <v>300.0</v>
      </c>
      <c r="E19" s="4">
        <v>9974.27</v>
      </c>
      <c r="F19" s="1">
        <v>300.0</v>
      </c>
    </row>
    <row r="20">
      <c r="A20" s="1">
        <v>8.0</v>
      </c>
      <c r="B20" s="1">
        <v>2.0</v>
      </c>
      <c r="C20" s="1">
        <v>6.0</v>
      </c>
      <c r="D20" s="1">
        <v>200.0</v>
      </c>
      <c r="E20" s="4">
        <v>9290.0</v>
      </c>
      <c r="F20" s="1">
        <v>300.0</v>
      </c>
    </row>
    <row r="21">
      <c r="A21" s="1">
        <v>8.0</v>
      </c>
      <c r="B21" s="1">
        <v>2.0</v>
      </c>
      <c r="C21" s="1">
        <v>6.0</v>
      </c>
      <c r="D21" s="1">
        <v>350.0</v>
      </c>
      <c r="E21" s="4">
        <v>10348.31</v>
      </c>
      <c r="F21" s="1">
        <v>300.0</v>
      </c>
    </row>
    <row r="22">
      <c r="A22" s="1">
        <v>8.0</v>
      </c>
      <c r="B22" s="1">
        <v>2.0</v>
      </c>
      <c r="C22" s="1">
        <v>6.0</v>
      </c>
      <c r="D22" s="1">
        <v>400.0</v>
      </c>
      <c r="E22" s="4">
        <v>10597.66</v>
      </c>
      <c r="F22" s="1">
        <v>300.0</v>
      </c>
      <c r="G22" s="1" t="s">
        <v>35</v>
      </c>
    </row>
    <row r="23">
      <c r="A23" s="1">
        <v>8.0</v>
      </c>
      <c r="B23" s="1">
        <v>2.0</v>
      </c>
      <c r="C23" s="1">
        <v>6.0</v>
      </c>
      <c r="D23" s="1">
        <v>500.0</v>
      </c>
      <c r="E23" s="4">
        <v>11221.06</v>
      </c>
      <c r="F23" s="1">
        <v>300.0</v>
      </c>
      <c r="G23" s="1" t="s">
        <v>36</v>
      </c>
    </row>
    <row r="24">
      <c r="A24" s="1">
        <v>8.0</v>
      </c>
      <c r="B24" s="1">
        <v>3.0</v>
      </c>
      <c r="C24" s="1">
        <v>5.0</v>
      </c>
      <c r="D24" s="1">
        <v>300.0</v>
      </c>
      <c r="E24" s="4">
        <v>14462.69</v>
      </c>
      <c r="F24" s="1">
        <v>300.0</v>
      </c>
      <c r="G24" s="1" t="s">
        <v>37</v>
      </c>
    </row>
    <row r="25">
      <c r="A25" s="1">
        <v>8.0</v>
      </c>
      <c r="B25" s="1">
        <v>4.0</v>
      </c>
      <c r="C25" s="1">
        <v>4.0</v>
      </c>
      <c r="D25" s="1">
        <v>300.0</v>
      </c>
      <c r="E25" s="4">
        <v>14462.69</v>
      </c>
      <c r="F25" s="1">
        <v>300.0</v>
      </c>
      <c r="G25" s="1" t="s">
        <v>38</v>
      </c>
    </row>
    <row r="26">
      <c r="A26" s="1">
        <v>8.0</v>
      </c>
      <c r="B26" s="1">
        <v>4.0</v>
      </c>
      <c r="C26" s="1">
        <v>4.0</v>
      </c>
      <c r="D26" s="1">
        <v>400.0</v>
      </c>
      <c r="E26" s="4">
        <v>15086.09</v>
      </c>
      <c r="F26" s="1">
        <v>300.0</v>
      </c>
      <c r="G26" s="1" t="s">
        <v>39</v>
      </c>
    </row>
    <row r="27">
      <c r="A27" s="1">
        <v>10.0</v>
      </c>
      <c r="B27" s="1">
        <v>4.0</v>
      </c>
      <c r="C27" s="1">
        <v>6.0</v>
      </c>
      <c r="D27" s="1">
        <v>300.0</v>
      </c>
      <c r="E27" s="4">
        <v>15086.09</v>
      </c>
      <c r="F27" s="1">
        <v>300.0</v>
      </c>
      <c r="G27" s="1" t="s">
        <v>40</v>
      </c>
    </row>
    <row r="28">
      <c r="A28" s="1">
        <v>10.0</v>
      </c>
      <c r="B28" s="1">
        <v>6.0</v>
      </c>
      <c r="C28" s="1">
        <v>4.0</v>
      </c>
      <c r="D28" s="1">
        <v>300.0</v>
      </c>
      <c r="E28" s="4">
        <v>19948.54</v>
      </c>
      <c r="F28" s="1">
        <v>300.0</v>
      </c>
      <c r="G28" s="1" t="s">
        <v>42</v>
      </c>
    </row>
    <row r="29">
      <c r="A29" s="1">
        <v>10.0</v>
      </c>
      <c r="B29" s="1">
        <v>6.0</v>
      </c>
      <c r="C29" s="1">
        <v>4.0</v>
      </c>
      <c r="D29" s="1">
        <v>400.0</v>
      </c>
      <c r="E29" s="4">
        <v>20821.29</v>
      </c>
      <c r="F29" s="1">
        <v>300.0</v>
      </c>
      <c r="G29" s="1" t="s">
        <v>43</v>
      </c>
    </row>
    <row r="30">
      <c r="A30" s="1">
        <v>10.0</v>
      </c>
      <c r="B30" s="1">
        <v>2.0</v>
      </c>
      <c r="C30" s="1">
        <v>8.0</v>
      </c>
      <c r="D30" s="1">
        <v>300.0</v>
      </c>
      <c r="E30" s="4">
        <v>11719.77</v>
      </c>
      <c r="F30" s="1">
        <v>300.0</v>
      </c>
      <c r="G30" s="1" t="s">
        <v>45</v>
      </c>
    </row>
    <row r="31">
      <c r="A31" s="1">
        <v>10.0</v>
      </c>
      <c r="B31" s="1">
        <v>2.0</v>
      </c>
      <c r="C31" s="1">
        <v>8.0</v>
      </c>
      <c r="D31" s="1">
        <v>200.0</v>
      </c>
      <c r="E31" s="4">
        <v>13800.0</v>
      </c>
      <c r="F31" s="1">
        <v>300.0</v>
      </c>
    </row>
    <row r="32">
      <c r="A32" s="1">
        <v>12.0</v>
      </c>
      <c r="B32" s="1">
        <v>4.0</v>
      </c>
      <c r="C32" s="1">
        <v>8.0</v>
      </c>
      <c r="D32" s="1">
        <v>300.0</v>
      </c>
      <c r="E32" s="4">
        <v>18452.4</v>
      </c>
      <c r="F32" s="1">
        <v>300.0</v>
      </c>
      <c r="G32" s="1" t="s">
        <v>46</v>
      </c>
    </row>
    <row r="33">
      <c r="A33" s="1">
        <v>14.0</v>
      </c>
      <c r="B33" s="1">
        <v>2.0</v>
      </c>
      <c r="C33" s="1">
        <v>12.0</v>
      </c>
      <c r="D33" s="1">
        <v>300.0</v>
      </c>
      <c r="E33" s="4">
        <v>19268.48</v>
      </c>
      <c r="F33" s="1">
        <v>300.0</v>
      </c>
      <c r="G33" s="1" t="s">
        <v>47</v>
      </c>
    </row>
    <row r="34">
      <c r="A34" s="1">
        <v>8.0</v>
      </c>
      <c r="B34" s="1">
        <v>2.0</v>
      </c>
      <c r="C34" s="1">
        <v>6.0</v>
      </c>
      <c r="D34" s="1">
        <v>250.0</v>
      </c>
      <c r="E34" s="4">
        <v>9747.58</v>
      </c>
      <c r="F34" s="1">
        <v>300.0</v>
      </c>
    </row>
    <row r="35">
      <c r="A35" s="1" t="s">
        <v>49</v>
      </c>
    </row>
    <row r="36">
      <c r="A36" s="1" t="s">
        <v>50</v>
      </c>
      <c r="B36" s="1" t="s">
        <v>51</v>
      </c>
      <c r="C36" s="1" t="s">
        <v>52</v>
      </c>
      <c r="D36" s="1" t="s">
        <v>53</v>
      </c>
    </row>
    <row r="37">
      <c r="A37" s="1">
        <v>200.0</v>
      </c>
      <c r="B37" s="1">
        <v>4.0</v>
      </c>
      <c r="D37" s="4">
        <v>3600.0</v>
      </c>
    </row>
    <row r="38">
      <c r="A38" s="1">
        <v>300.0</v>
      </c>
      <c r="B38" s="1">
        <v>4.0</v>
      </c>
      <c r="D38" s="4">
        <v>4000.0</v>
      </c>
    </row>
    <row r="39">
      <c r="A39" s="1">
        <v>200.0</v>
      </c>
      <c r="B39" s="1">
        <v>6.0</v>
      </c>
      <c r="D39" s="4">
        <v>5400.0</v>
      </c>
    </row>
    <row r="40">
      <c r="A40" s="1">
        <v>300.0</v>
      </c>
      <c r="B40" s="1">
        <v>6.0</v>
      </c>
      <c r="D40" s="4">
        <v>6000.0</v>
      </c>
    </row>
    <row r="41">
      <c r="A41" s="1">
        <v>200.0</v>
      </c>
      <c r="B41" s="1">
        <v>8.0</v>
      </c>
      <c r="D41" s="4">
        <v>7200.0</v>
      </c>
    </row>
    <row r="42">
      <c r="A42" s="1">
        <v>300.0</v>
      </c>
      <c r="B42" s="1">
        <v>8.0</v>
      </c>
      <c r="D42" s="4">
        <v>8000.0</v>
      </c>
    </row>
    <row r="43">
      <c r="A43" s="1">
        <v>200.0</v>
      </c>
      <c r="B43" s="1">
        <v>10.0</v>
      </c>
      <c r="D43" s="4">
        <v>9000.0</v>
      </c>
    </row>
    <row r="44">
      <c r="A44" s="1">
        <v>200.0</v>
      </c>
      <c r="B44" s="1">
        <v>12.0</v>
      </c>
      <c r="D44" s="4">
        <v>11200.0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8.13"/>
    <col customWidth="1" min="3" max="3" width="16.5"/>
    <col customWidth="1" min="5" max="5" width="20.88"/>
  </cols>
  <sheetData>
    <row r="1">
      <c r="A1" s="8" t="s">
        <v>13</v>
      </c>
      <c r="B1" s="10"/>
      <c r="C1" s="10"/>
      <c r="D1" s="12"/>
      <c r="E1" s="14"/>
    </row>
    <row r="2">
      <c r="A2" s="14" t="s">
        <v>31</v>
      </c>
      <c r="B2" s="14" t="s">
        <v>32</v>
      </c>
      <c r="C2" s="14" t="s">
        <v>17</v>
      </c>
      <c r="D2" s="14" t="s">
        <v>33</v>
      </c>
      <c r="E2" s="15" t="s">
        <v>34</v>
      </c>
    </row>
    <row r="3">
      <c r="A3" s="16">
        <v>400.0</v>
      </c>
      <c r="B3" s="16">
        <v>8.0</v>
      </c>
      <c r="C3" s="14"/>
      <c r="D3" s="16">
        <v>8.0</v>
      </c>
      <c r="E3" s="17">
        <v>8602.0</v>
      </c>
    </row>
    <row r="4">
      <c r="A4" s="16">
        <v>500.0</v>
      </c>
      <c r="B4" s="16">
        <v>8.0</v>
      </c>
      <c r="C4" s="14"/>
      <c r="D4" s="16">
        <v>8.0</v>
      </c>
      <c r="E4" s="17">
        <v>9487.5</v>
      </c>
    </row>
    <row r="5">
      <c r="A5" s="16">
        <v>500.0</v>
      </c>
      <c r="B5" s="16">
        <v>12.0</v>
      </c>
      <c r="C5" s="14"/>
      <c r="D5" s="16">
        <v>12.0</v>
      </c>
      <c r="E5" s="17">
        <v>13788.500000000002</v>
      </c>
    </row>
    <row r="6">
      <c r="A6" s="16">
        <v>400.0</v>
      </c>
      <c r="B6" s="16">
        <v>10.0</v>
      </c>
      <c r="C6" s="14"/>
      <c r="D6" s="16">
        <v>10.0</v>
      </c>
      <c r="E6" s="17">
        <v>10752.5</v>
      </c>
    </row>
    <row r="7">
      <c r="A7" s="16">
        <v>500.0</v>
      </c>
      <c r="B7" s="16">
        <v>10.0</v>
      </c>
      <c r="C7" s="14"/>
      <c r="D7" s="16">
        <v>10.0</v>
      </c>
      <c r="E7" s="17">
        <v>12017.499999999998</v>
      </c>
    </row>
    <row r="8">
      <c r="A8" s="16">
        <v>400.0</v>
      </c>
      <c r="B8" s="16">
        <v>6.0</v>
      </c>
      <c r="C8" s="14"/>
      <c r="D8" s="16">
        <v>6.0</v>
      </c>
      <c r="E8" s="17">
        <v>6578.000000000001</v>
      </c>
    </row>
    <row r="9">
      <c r="A9" s="16">
        <v>500.0</v>
      </c>
      <c r="B9" s="16">
        <v>6.0</v>
      </c>
      <c r="C9" s="14"/>
      <c r="D9" s="16">
        <v>6.0</v>
      </c>
      <c r="E9" s="17">
        <v>7843.0</v>
      </c>
    </row>
    <row r="10">
      <c r="A10" s="16">
        <v>400.0</v>
      </c>
      <c r="B10" s="16">
        <v>12.0</v>
      </c>
      <c r="C10" s="14"/>
      <c r="D10" s="16">
        <v>12.0</v>
      </c>
      <c r="E10" s="17">
        <v>13282.500000000002</v>
      </c>
    </row>
    <row r="11">
      <c r="A11" s="16">
        <v>500.0</v>
      </c>
      <c r="B11" s="16">
        <v>12.0</v>
      </c>
      <c r="C11" s="16">
        <v>2.0</v>
      </c>
      <c r="D11" s="16">
        <v>10.0</v>
      </c>
      <c r="E11" s="17">
        <v>18745.0</v>
      </c>
    </row>
    <row r="12">
      <c r="A12" s="16">
        <v>500.0</v>
      </c>
      <c r="B12" s="16">
        <v>16.0</v>
      </c>
      <c r="C12" s="14"/>
      <c r="D12" s="16">
        <v>16.0</v>
      </c>
      <c r="E12" s="17">
        <v>18492.0</v>
      </c>
    </row>
    <row r="13">
      <c r="A13" s="16">
        <v>500.0</v>
      </c>
      <c r="B13" s="16">
        <v>16.0</v>
      </c>
      <c r="C13" s="16">
        <v>2.0</v>
      </c>
      <c r="D13" s="16">
        <v>14.0</v>
      </c>
      <c r="E13" s="17">
        <v>21735.0</v>
      </c>
    </row>
    <row r="14">
      <c r="A14" s="16">
        <v>500.0</v>
      </c>
      <c r="B14" s="16">
        <v>16.0</v>
      </c>
      <c r="C14" s="16">
        <v>4.0</v>
      </c>
      <c r="D14" s="16">
        <v>12.0</v>
      </c>
      <c r="E14" s="17">
        <v>24724.999999999996</v>
      </c>
    </row>
    <row r="15">
      <c r="A15" s="16">
        <v>500.0</v>
      </c>
      <c r="B15" s="16">
        <v>14.0</v>
      </c>
      <c r="C15" s="14"/>
      <c r="D15" s="16">
        <v>14.0</v>
      </c>
      <c r="E15" s="17">
        <v>16192.0</v>
      </c>
    </row>
    <row r="16">
      <c r="A16" s="16">
        <v>500.0</v>
      </c>
      <c r="B16" s="16">
        <v>14.0</v>
      </c>
      <c r="C16" s="16">
        <v>4.0</v>
      </c>
      <c r="D16" s="16">
        <v>10.0</v>
      </c>
      <c r="E16" s="17">
        <v>24126.999999999996</v>
      </c>
    </row>
    <row r="17">
      <c r="A17" s="16">
        <v>500.0</v>
      </c>
      <c r="B17" s="16">
        <v>16.0</v>
      </c>
      <c r="C17" s="16">
        <v>2.0</v>
      </c>
      <c r="D17" s="16">
        <v>12.0</v>
      </c>
      <c r="E17" s="17">
        <v>24839.999999999996</v>
      </c>
    </row>
    <row r="18">
      <c r="A18" s="16">
        <v>500.0</v>
      </c>
      <c r="B18" s="16">
        <v>20.0</v>
      </c>
      <c r="C18" s="16">
        <v>2.0</v>
      </c>
      <c r="D18" s="16">
        <v>18.0</v>
      </c>
      <c r="E18" s="17">
        <v>30500.0</v>
      </c>
    </row>
    <row r="19">
      <c r="A19" s="16">
        <v>400.0</v>
      </c>
      <c r="B19" s="16">
        <v>10.0</v>
      </c>
      <c r="C19" s="16">
        <v>2.0</v>
      </c>
      <c r="D19" s="16">
        <v>8.0</v>
      </c>
      <c r="E19" s="17">
        <v>14041.500000000002</v>
      </c>
    </row>
    <row r="20">
      <c r="A20" s="16">
        <v>500.0</v>
      </c>
      <c r="B20" s="16">
        <v>10.0</v>
      </c>
      <c r="C20" s="16">
        <v>2.0</v>
      </c>
      <c r="D20" s="16">
        <v>8.0</v>
      </c>
      <c r="E20" s="17">
        <v>14927.000000000002</v>
      </c>
    </row>
    <row r="21">
      <c r="A21" s="16">
        <v>500.0</v>
      </c>
      <c r="B21" s="16">
        <v>10.0</v>
      </c>
      <c r="C21" s="16">
        <v>4.0</v>
      </c>
      <c r="D21" s="16">
        <v>6.0</v>
      </c>
      <c r="E21" s="17">
        <v>18722.0</v>
      </c>
    </row>
    <row r="22">
      <c r="A22" s="16">
        <v>500.0</v>
      </c>
      <c r="B22" s="16">
        <v>10.0</v>
      </c>
      <c r="C22" s="16">
        <v>6.0</v>
      </c>
      <c r="D22" s="16">
        <v>4.0</v>
      </c>
      <c r="E22" s="17">
        <v>24230.499999999996</v>
      </c>
    </row>
    <row r="23">
      <c r="A23" s="16">
        <v>400.0</v>
      </c>
      <c r="B23" s="16">
        <v>10.0</v>
      </c>
      <c r="C23" s="16">
        <v>4.0</v>
      </c>
      <c r="D23" s="16">
        <v>6.0</v>
      </c>
      <c r="E23" s="17">
        <v>17710.0</v>
      </c>
    </row>
    <row r="24">
      <c r="A24" s="16">
        <v>400.0</v>
      </c>
      <c r="B24" s="16">
        <v>8.0</v>
      </c>
      <c r="C24" s="16">
        <v>2.0</v>
      </c>
      <c r="D24" s="16">
        <v>6.0</v>
      </c>
      <c r="E24" s="17">
        <v>12017.499999999998</v>
      </c>
    </row>
    <row r="25">
      <c r="A25" s="16">
        <v>500.0</v>
      </c>
      <c r="B25" s="16">
        <v>8.0</v>
      </c>
      <c r="C25" s="16">
        <v>2.0</v>
      </c>
      <c r="D25" s="16">
        <v>6.0</v>
      </c>
      <c r="E25" s="17">
        <v>13431.999999999998</v>
      </c>
    </row>
    <row r="26">
      <c r="A26" s="16">
        <v>500.0</v>
      </c>
      <c r="B26" s="16">
        <v>8.0</v>
      </c>
      <c r="C26" s="16">
        <v>4.0</v>
      </c>
      <c r="D26" s="16">
        <v>4.0</v>
      </c>
      <c r="E26" s="17">
        <v>21712.0</v>
      </c>
    </row>
    <row r="27">
      <c r="A27" s="16">
        <v>400.0</v>
      </c>
      <c r="B27" s="16">
        <v>6.0</v>
      </c>
      <c r="C27" s="16">
        <v>2.0</v>
      </c>
      <c r="D27" s="16">
        <v>4.0</v>
      </c>
      <c r="E27" s="17">
        <v>9867.0</v>
      </c>
    </row>
    <row r="28">
      <c r="A28" s="16">
        <v>1200.0</v>
      </c>
      <c r="B28" s="16">
        <v>10.0</v>
      </c>
      <c r="C28" s="16">
        <v>4.0</v>
      </c>
      <c r="D28" s="16">
        <v>10.0</v>
      </c>
      <c r="E28" s="17">
        <v>31625.0</v>
      </c>
    </row>
    <row r="30">
      <c r="A30" s="7" t="s">
        <v>49</v>
      </c>
      <c r="B30" s="7"/>
      <c r="C30" s="7"/>
      <c r="D30" s="7"/>
      <c r="E30" s="7"/>
    </row>
    <row r="31">
      <c r="A31" s="7" t="s">
        <v>9</v>
      </c>
      <c r="B31" s="7" t="s">
        <v>32</v>
      </c>
      <c r="C31" s="24" t="s">
        <v>17</v>
      </c>
      <c r="D31" s="7" t="s">
        <v>33</v>
      </c>
      <c r="E31" s="7" t="s">
        <v>70</v>
      </c>
    </row>
    <row r="32">
      <c r="A32" s="25">
        <v>1000.0</v>
      </c>
      <c r="B32" s="25">
        <v>4.0</v>
      </c>
      <c r="C32" s="7"/>
      <c r="D32" s="25">
        <v>4.0</v>
      </c>
      <c r="E32" s="26">
        <v>7369.2</v>
      </c>
    </row>
    <row r="33">
      <c r="A33" s="25">
        <v>800.0</v>
      </c>
      <c r="B33" s="25">
        <v>4.0</v>
      </c>
      <c r="C33" s="7"/>
      <c r="D33" s="25">
        <v>4.0</v>
      </c>
      <c r="E33" s="26">
        <v>6541.2</v>
      </c>
    </row>
    <row r="34">
      <c r="A34" s="25">
        <v>1500.0</v>
      </c>
      <c r="B34" s="25">
        <v>12.0</v>
      </c>
      <c r="C34" s="7"/>
      <c r="D34" s="25">
        <v>12.0</v>
      </c>
      <c r="E34" s="26">
        <v>28519.999999999996</v>
      </c>
    </row>
    <row r="35">
      <c r="A35" s="25">
        <v>1500.0</v>
      </c>
      <c r="B35" s="25">
        <v>8.0</v>
      </c>
      <c r="C35" s="7"/>
      <c r="D35" s="25">
        <v>8.0</v>
      </c>
      <c r="E35" s="26">
        <v>20125.0</v>
      </c>
    </row>
    <row r="36">
      <c r="A36" s="25">
        <v>500.0</v>
      </c>
      <c r="B36" s="25">
        <v>4.0</v>
      </c>
      <c r="C36" s="25">
        <v>4.0</v>
      </c>
      <c r="D36" s="7"/>
      <c r="E36" s="26">
        <v>16214.999999999998</v>
      </c>
    </row>
    <row r="37">
      <c r="A37" s="25">
        <v>500.0</v>
      </c>
      <c r="B37" s="25">
        <v>12.0</v>
      </c>
      <c r="C37" s="7"/>
      <c r="D37" s="25">
        <v>12.0</v>
      </c>
      <c r="E37" s="26">
        <v>15577.0</v>
      </c>
    </row>
  </sheetData>
  <mergeCells count="1">
    <mergeCell ref="A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9.88"/>
    <col customWidth="1" min="5" max="5" width="24.13"/>
    <col customWidth="1" min="6" max="6" width="18.38"/>
  </cols>
  <sheetData>
    <row r="1">
      <c r="A1" s="1" t="s">
        <v>68</v>
      </c>
    </row>
    <row r="2">
      <c r="A2" s="1" t="s">
        <v>2</v>
      </c>
      <c r="B2" s="1" t="s">
        <v>21</v>
      </c>
      <c r="C2" s="1" t="s">
        <v>4</v>
      </c>
      <c r="D2" s="1" t="s">
        <v>5</v>
      </c>
      <c r="E2" s="1" t="s">
        <v>69</v>
      </c>
      <c r="F2" s="1" t="s">
        <v>8</v>
      </c>
    </row>
    <row r="3">
      <c r="A3" s="1">
        <v>4.0</v>
      </c>
      <c r="C3" s="1">
        <v>4.0</v>
      </c>
      <c r="D3" s="1">
        <v>200.0</v>
      </c>
      <c r="E3" s="4">
        <v>4427.5</v>
      </c>
      <c r="F3" s="1" t="s">
        <v>10</v>
      </c>
    </row>
    <row r="4">
      <c r="A4" s="1">
        <v>6.0</v>
      </c>
      <c r="C4" s="1">
        <v>6.0</v>
      </c>
      <c r="D4" s="1">
        <v>200.0</v>
      </c>
      <c r="E4" s="4">
        <v>6641.25</v>
      </c>
      <c r="F4" s="1" t="s">
        <v>11</v>
      </c>
    </row>
    <row r="5">
      <c r="A5" s="1">
        <v>8.0</v>
      </c>
      <c r="C5" s="1">
        <v>8.0</v>
      </c>
      <c r="D5" s="1">
        <v>200.0</v>
      </c>
      <c r="E5" s="4">
        <v>8855.0</v>
      </c>
      <c r="F5" s="1" t="s">
        <v>15</v>
      </c>
    </row>
    <row r="6">
      <c r="A6" s="1">
        <v>10.0</v>
      </c>
      <c r="C6" s="1">
        <v>10.0</v>
      </c>
      <c r="D6" s="1">
        <v>200.0</v>
      </c>
      <c r="E6" s="4">
        <v>9614.0</v>
      </c>
      <c r="F6" s="1" t="s">
        <v>16</v>
      </c>
    </row>
    <row r="7">
      <c r="A7" s="1">
        <v>12.0</v>
      </c>
      <c r="C7" s="1">
        <v>12.0</v>
      </c>
      <c r="D7" s="1">
        <v>200.0</v>
      </c>
      <c r="E7" s="4">
        <v>13282.5</v>
      </c>
      <c r="F7" s="1" t="s">
        <v>18</v>
      </c>
    </row>
    <row r="8">
      <c r="A8" s="1">
        <v>14.0</v>
      </c>
      <c r="C8" s="1">
        <v>14.0</v>
      </c>
      <c r="D8" s="1">
        <v>200.0</v>
      </c>
      <c r="E8" s="4">
        <v>13535.5</v>
      </c>
      <c r="F8" s="1" t="s">
        <v>20</v>
      </c>
    </row>
    <row r="9">
      <c r="A9" s="1">
        <v>12.0</v>
      </c>
      <c r="C9" s="1">
        <v>12.0</v>
      </c>
      <c r="D9" s="1">
        <v>300.0</v>
      </c>
      <c r="E9" s="4">
        <v>12144.0</v>
      </c>
      <c r="F9" s="1" t="s">
        <v>22</v>
      </c>
    </row>
    <row r="10">
      <c r="A10" s="1">
        <v>12.0</v>
      </c>
      <c r="C10" s="1">
        <v>12.0</v>
      </c>
      <c r="D10" s="1">
        <v>400.0</v>
      </c>
      <c r="E10" s="4">
        <v>13156.0</v>
      </c>
      <c r="F10" s="1" t="s">
        <v>23</v>
      </c>
    </row>
    <row r="11">
      <c r="A11" s="1">
        <v>12.0</v>
      </c>
      <c r="C11" s="1">
        <v>12.0</v>
      </c>
      <c r="D11" s="1">
        <v>500.0</v>
      </c>
      <c r="E11" s="4">
        <v>14168.0</v>
      </c>
      <c r="F11" s="1" t="s">
        <v>25</v>
      </c>
    </row>
    <row r="12">
      <c r="A12" s="1">
        <v>14.0</v>
      </c>
      <c r="C12" s="1">
        <v>14.0</v>
      </c>
      <c r="D12" s="1">
        <v>300.0</v>
      </c>
      <c r="E12" s="4">
        <v>14168.0</v>
      </c>
      <c r="F12" s="1" t="s">
        <v>27</v>
      </c>
    </row>
    <row r="13">
      <c r="A13" s="1">
        <v>14.0</v>
      </c>
      <c r="C13" s="1">
        <v>14.0</v>
      </c>
      <c r="D13" s="1">
        <v>400.0</v>
      </c>
      <c r="E13" s="4">
        <v>15306.5</v>
      </c>
      <c r="F13" s="1" t="s">
        <v>28</v>
      </c>
    </row>
    <row r="14">
      <c r="A14" s="1">
        <v>14.0</v>
      </c>
      <c r="C14" s="1">
        <v>14.0</v>
      </c>
      <c r="D14" s="1">
        <v>500.0</v>
      </c>
      <c r="E14" s="4">
        <v>16445.0</v>
      </c>
      <c r="F14" s="1" t="s">
        <v>30</v>
      </c>
    </row>
    <row r="15">
      <c r="A15" s="1">
        <v>18.0</v>
      </c>
      <c r="C15" s="1">
        <v>18.0</v>
      </c>
      <c r="D15" s="1">
        <v>200.0</v>
      </c>
      <c r="E15" s="4">
        <v>16215.0</v>
      </c>
    </row>
    <row r="16">
      <c r="A16" s="1">
        <v>16.0</v>
      </c>
      <c r="C16" s="1">
        <v>16.0</v>
      </c>
      <c r="D16" s="1">
        <v>200.0</v>
      </c>
      <c r="E16" s="4">
        <v>14375.0</v>
      </c>
    </row>
    <row r="17">
      <c r="A17" s="1">
        <v>16.0</v>
      </c>
      <c r="B17" s="1">
        <v>2.0</v>
      </c>
      <c r="C17" s="1">
        <v>14.0</v>
      </c>
      <c r="D17" s="1">
        <v>200.0</v>
      </c>
      <c r="E17" s="4">
        <v>17710.0</v>
      </c>
    </row>
    <row r="18">
      <c r="A18" s="1">
        <v>18.0</v>
      </c>
      <c r="B18" s="1">
        <v>2.0</v>
      </c>
      <c r="C18" s="1">
        <v>16.0</v>
      </c>
      <c r="D18" s="1">
        <v>200.0</v>
      </c>
      <c r="E18" s="4">
        <v>20382.0</v>
      </c>
    </row>
    <row r="19">
      <c r="A19" s="1">
        <v>24.0</v>
      </c>
      <c r="C19" s="1">
        <v>24.0</v>
      </c>
      <c r="D19" s="1">
        <v>200.0</v>
      </c>
      <c r="E19" s="4">
        <v>21045.0</v>
      </c>
    </row>
    <row r="20">
      <c r="A20" s="1">
        <v>26.0</v>
      </c>
      <c r="C20" s="1">
        <v>26.0</v>
      </c>
      <c r="D20" s="1">
        <v>200.0</v>
      </c>
      <c r="E20" s="4">
        <v>25806.0</v>
      </c>
    </row>
    <row r="21">
      <c r="A21" s="1">
        <v>46.0</v>
      </c>
      <c r="C21" s="1">
        <v>46.0</v>
      </c>
      <c r="D21" s="1">
        <v>200.0</v>
      </c>
      <c r="E21" s="4">
        <v>48829.0</v>
      </c>
      <c r="F21" s="1" t="s">
        <v>71</v>
      </c>
    </row>
    <row r="22">
      <c r="A22" s="1">
        <v>56.0</v>
      </c>
      <c r="B22" s="1">
        <v>0.0</v>
      </c>
      <c r="C22" s="1">
        <v>56.0</v>
      </c>
      <c r="D22" s="1">
        <v>200.0</v>
      </c>
      <c r="E22" s="4">
        <v>48185.0</v>
      </c>
    </row>
    <row r="23">
      <c r="A23" s="1">
        <v>26.0</v>
      </c>
      <c r="C23" s="1">
        <v>26.0</v>
      </c>
      <c r="D23" s="1">
        <v>300.0</v>
      </c>
      <c r="E23" s="4">
        <v>28842.0</v>
      </c>
      <c r="F23" s="1" t="s">
        <v>72</v>
      </c>
    </row>
    <row r="24">
      <c r="A24" s="1">
        <v>6.0</v>
      </c>
      <c r="B24" s="1">
        <v>2.0</v>
      </c>
      <c r="C24" s="1">
        <v>4.0</v>
      </c>
      <c r="D24" s="1">
        <v>200.0</v>
      </c>
      <c r="E24" s="4">
        <v>8855.0</v>
      </c>
      <c r="F24" s="1" t="s">
        <v>73</v>
      </c>
    </row>
    <row r="25">
      <c r="A25" s="1">
        <v>6.0</v>
      </c>
      <c r="B25" s="1">
        <v>2.0</v>
      </c>
      <c r="C25" s="1">
        <v>4.0</v>
      </c>
      <c r="D25" s="1">
        <v>300.0</v>
      </c>
      <c r="E25" s="4">
        <v>9487.5</v>
      </c>
      <c r="F25" s="1" t="s">
        <v>74</v>
      </c>
    </row>
    <row r="26">
      <c r="A26" s="1">
        <v>6.0</v>
      </c>
      <c r="B26" s="1">
        <v>2.0</v>
      </c>
      <c r="C26" s="1">
        <v>4.0</v>
      </c>
      <c r="D26" s="1">
        <v>400.0</v>
      </c>
      <c r="E26" s="4">
        <v>9867.0</v>
      </c>
      <c r="F26" s="1" t="s">
        <v>75</v>
      </c>
    </row>
    <row r="27">
      <c r="A27" s="1">
        <v>8.0</v>
      </c>
      <c r="B27" s="1">
        <v>2.0</v>
      </c>
      <c r="C27" s="1">
        <v>6.0</v>
      </c>
      <c r="D27" s="1">
        <v>200.0</v>
      </c>
      <c r="E27" s="4">
        <v>10373.0</v>
      </c>
    </row>
    <row r="28">
      <c r="A28" s="1">
        <v>8.0</v>
      </c>
      <c r="B28" s="1">
        <v>2.0</v>
      </c>
      <c r="C28" s="1">
        <v>6.0</v>
      </c>
      <c r="D28" s="1">
        <v>400.0</v>
      </c>
      <c r="E28" s="4">
        <v>12017.5</v>
      </c>
      <c r="F28" s="1" t="s">
        <v>35</v>
      </c>
    </row>
    <row r="29">
      <c r="A29" s="1">
        <v>8.0</v>
      </c>
      <c r="B29" s="1">
        <v>2.0</v>
      </c>
      <c r="C29" s="1">
        <v>6.0</v>
      </c>
      <c r="D29" s="1">
        <v>500.0</v>
      </c>
      <c r="E29" s="4">
        <v>12650.0</v>
      </c>
      <c r="F29" s="1" t="s">
        <v>36</v>
      </c>
    </row>
    <row r="30">
      <c r="A30" s="1">
        <v>8.0</v>
      </c>
      <c r="B30" s="1">
        <v>4.0</v>
      </c>
      <c r="C30" s="1">
        <v>4.0</v>
      </c>
      <c r="D30" s="1">
        <v>300.0</v>
      </c>
      <c r="E30" s="4">
        <v>14674.0</v>
      </c>
      <c r="F30" s="1" t="s">
        <v>38</v>
      </c>
    </row>
    <row r="31">
      <c r="A31" s="1">
        <v>8.0</v>
      </c>
      <c r="B31" s="1">
        <v>4.0</v>
      </c>
      <c r="C31" s="1">
        <v>4.0</v>
      </c>
      <c r="D31" s="1">
        <v>400.0</v>
      </c>
      <c r="E31" s="4">
        <v>15306.5</v>
      </c>
      <c r="F31" s="1" t="s">
        <v>39</v>
      </c>
    </row>
    <row r="32">
      <c r="A32" s="1">
        <v>10.0</v>
      </c>
      <c r="B32" s="1">
        <v>6.0</v>
      </c>
      <c r="C32" s="1">
        <v>4.0</v>
      </c>
      <c r="D32" s="1">
        <v>300.0</v>
      </c>
      <c r="E32" s="4">
        <v>20240.0</v>
      </c>
      <c r="F32" s="1" t="s">
        <v>40</v>
      </c>
    </row>
    <row r="33">
      <c r="A33" s="1">
        <v>10.0</v>
      </c>
      <c r="B33" s="1">
        <v>6.0</v>
      </c>
      <c r="C33" s="1">
        <v>4.0</v>
      </c>
      <c r="D33" s="1">
        <v>400.0</v>
      </c>
      <c r="E33" s="4">
        <v>21125.5</v>
      </c>
      <c r="F33" s="1" t="s">
        <v>42</v>
      </c>
    </row>
    <row r="34">
      <c r="A34" s="1">
        <v>10.0</v>
      </c>
      <c r="B34" s="1">
        <v>2.0</v>
      </c>
      <c r="C34" s="1">
        <v>8.0</v>
      </c>
      <c r="D34" s="1">
        <v>200.0</v>
      </c>
      <c r="E34" s="4">
        <v>14260.0</v>
      </c>
    </row>
    <row r="35">
      <c r="A35" s="1">
        <v>10.0</v>
      </c>
      <c r="B35" s="1">
        <v>2.0</v>
      </c>
      <c r="C35" s="1">
        <v>8.0</v>
      </c>
      <c r="D35" s="1">
        <v>300.0</v>
      </c>
      <c r="E35" s="4">
        <v>13156.0</v>
      </c>
      <c r="F35" s="1" t="s">
        <v>43</v>
      </c>
    </row>
    <row r="36">
      <c r="A36" s="1">
        <v>12.0</v>
      </c>
      <c r="B36" s="1">
        <v>4.0</v>
      </c>
      <c r="C36" s="1">
        <v>8.0</v>
      </c>
      <c r="D36" s="1">
        <v>300.0</v>
      </c>
      <c r="E36" s="4">
        <v>18722.0</v>
      </c>
      <c r="F36" s="1" t="s">
        <v>45</v>
      </c>
    </row>
    <row r="37">
      <c r="A37" s="1">
        <v>12.0</v>
      </c>
      <c r="B37" s="1">
        <v>2.0</v>
      </c>
      <c r="C37" s="1">
        <v>10.0</v>
      </c>
      <c r="D37" s="1">
        <v>200.0</v>
      </c>
      <c r="E37" s="4">
        <v>14375.0</v>
      </c>
    </row>
    <row r="38">
      <c r="A38" s="1">
        <v>14.0</v>
      </c>
      <c r="B38" s="1">
        <v>2.0</v>
      </c>
      <c r="C38" s="1">
        <v>12.0</v>
      </c>
      <c r="D38" s="1">
        <v>200.0</v>
      </c>
      <c r="E38" s="4">
        <v>16192.0</v>
      </c>
    </row>
    <row r="39">
      <c r="A39" s="1">
        <v>14.0</v>
      </c>
      <c r="B39" s="1">
        <v>2.0</v>
      </c>
      <c r="C39" s="1">
        <v>12.0</v>
      </c>
      <c r="D39" s="1">
        <v>200.0</v>
      </c>
      <c r="E39" s="4">
        <v>16192.0</v>
      </c>
    </row>
    <row r="40">
      <c r="A40" s="1">
        <v>20.0</v>
      </c>
      <c r="B40" s="1">
        <v>2.0</v>
      </c>
      <c r="C40" s="1">
        <v>18.0</v>
      </c>
      <c r="D40" s="1">
        <v>200.0</v>
      </c>
      <c r="E40" s="4">
        <v>24760.0</v>
      </c>
    </row>
    <row r="41">
      <c r="A41" s="1">
        <v>36.0</v>
      </c>
      <c r="B41" s="1">
        <v>2.0</v>
      </c>
      <c r="C41" s="1">
        <v>34.0</v>
      </c>
      <c r="D41" s="1">
        <v>200.0</v>
      </c>
      <c r="E41" s="4">
        <v>39548.0</v>
      </c>
    </row>
    <row r="42">
      <c r="A42" s="1">
        <v>38.0</v>
      </c>
      <c r="B42" s="1">
        <v>0.0</v>
      </c>
      <c r="C42" s="1">
        <v>38.0</v>
      </c>
      <c r="D42" s="1">
        <v>60.0</v>
      </c>
      <c r="E42" s="4">
        <v>38152.0</v>
      </c>
    </row>
  </sheetData>
  <mergeCells count="1">
    <mergeCell ref="A1:F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5"/>
    <col customWidth="1" min="6" max="6" width="24.5"/>
    <col customWidth="1" min="7" max="7" width="19.13"/>
  </cols>
  <sheetData>
    <row r="1">
      <c r="A1" s="27" t="s">
        <v>76</v>
      </c>
      <c r="B1" s="10"/>
      <c r="C1" s="10"/>
      <c r="D1" s="12"/>
      <c r="E1" s="28"/>
      <c r="F1" s="28"/>
      <c r="G1" s="28"/>
    </row>
    <row r="2">
      <c r="A2" s="28" t="s">
        <v>2</v>
      </c>
      <c r="B2" s="29" t="s">
        <v>21</v>
      </c>
      <c r="C2" s="29" t="s">
        <v>4</v>
      </c>
      <c r="D2" s="29" t="s">
        <v>5</v>
      </c>
      <c r="E2" s="30" t="s">
        <v>77</v>
      </c>
      <c r="F2" s="30" t="s">
        <v>78</v>
      </c>
      <c r="G2" s="29" t="s">
        <v>8</v>
      </c>
    </row>
    <row r="3">
      <c r="A3" s="31">
        <v>4.0</v>
      </c>
      <c r="B3" s="32"/>
      <c r="C3" s="33">
        <v>4.0</v>
      </c>
      <c r="D3" s="33">
        <v>300.0</v>
      </c>
      <c r="E3" s="34">
        <v>4427.5</v>
      </c>
      <c r="F3" s="34">
        <f t="shared" ref="F3:F17" si="1">E3*1.12</f>
        <v>4958.8</v>
      </c>
      <c r="G3" s="35"/>
    </row>
    <row r="4">
      <c r="A4" s="31">
        <v>4.0</v>
      </c>
      <c r="B4" s="32"/>
      <c r="C4" s="33">
        <v>4.0</v>
      </c>
      <c r="D4" s="33">
        <v>400.0</v>
      </c>
      <c r="E4" s="34">
        <v>4554.0</v>
      </c>
      <c r="F4" s="34">
        <f t="shared" si="1"/>
        <v>5100.48</v>
      </c>
      <c r="G4" s="35"/>
    </row>
    <row r="5">
      <c r="A5" s="31">
        <v>4.0</v>
      </c>
      <c r="B5" s="32"/>
      <c r="C5" s="33">
        <v>4.0</v>
      </c>
      <c r="D5" s="33">
        <v>500.0</v>
      </c>
      <c r="E5" s="34">
        <v>4807.0</v>
      </c>
      <c r="F5" s="34">
        <f t="shared" si="1"/>
        <v>5383.84</v>
      </c>
      <c r="G5" s="35"/>
    </row>
    <row r="6">
      <c r="A6" s="31">
        <v>4.0</v>
      </c>
      <c r="B6" s="32"/>
      <c r="C6" s="33">
        <v>4.0</v>
      </c>
      <c r="D6" s="33">
        <v>600.0</v>
      </c>
      <c r="E6" s="34">
        <v>5313.0</v>
      </c>
      <c r="F6" s="34">
        <f t="shared" si="1"/>
        <v>5950.56</v>
      </c>
      <c r="G6" s="35"/>
    </row>
    <row r="7">
      <c r="A7" s="31">
        <v>4.0</v>
      </c>
      <c r="B7" s="32"/>
      <c r="C7" s="33">
        <v>4.0</v>
      </c>
      <c r="D7" s="33">
        <v>700.0</v>
      </c>
      <c r="E7" s="34">
        <v>5692.5</v>
      </c>
      <c r="F7" s="34">
        <f t="shared" si="1"/>
        <v>6375.6</v>
      </c>
      <c r="G7" s="35"/>
    </row>
    <row r="8">
      <c r="A8" s="31">
        <v>6.0</v>
      </c>
      <c r="B8" s="32"/>
      <c r="C8" s="33">
        <v>6.0</v>
      </c>
      <c r="D8" s="33">
        <v>300.0</v>
      </c>
      <c r="E8" s="34">
        <v>6071.999999999999</v>
      </c>
      <c r="F8" s="34">
        <f t="shared" si="1"/>
        <v>6800.64</v>
      </c>
      <c r="G8" s="34" t="s">
        <v>10</v>
      </c>
    </row>
    <row r="9">
      <c r="A9" s="31">
        <v>6.0</v>
      </c>
      <c r="B9" s="32"/>
      <c r="C9" s="33">
        <v>6.0</v>
      </c>
      <c r="D9" s="33">
        <v>400.0</v>
      </c>
      <c r="E9" s="34">
        <v>6578.000000000001</v>
      </c>
      <c r="F9" s="34">
        <f t="shared" si="1"/>
        <v>7367.36</v>
      </c>
      <c r="G9" s="34" t="s">
        <v>11</v>
      </c>
    </row>
    <row r="10">
      <c r="A10" s="31">
        <v>6.0</v>
      </c>
      <c r="B10" s="32"/>
      <c r="C10" s="33">
        <v>6.0</v>
      </c>
      <c r="D10" s="33">
        <v>500.0</v>
      </c>
      <c r="E10" s="34">
        <v>7084.000000000001</v>
      </c>
      <c r="F10" s="34">
        <f t="shared" si="1"/>
        <v>7934.08</v>
      </c>
      <c r="G10" s="34" t="s">
        <v>15</v>
      </c>
    </row>
    <row r="11">
      <c r="A11" s="31">
        <v>6.0</v>
      </c>
      <c r="B11" s="32"/>
      <c r="C11" s="33">
        <v>6.0</v>
      </c>
      <c r="D11" s="33">
        <v>600.0</v>
      </c>
      <c r="E11" s="34">
        <v>7969.5</v>
      </c>
      <c r="F11" s="34">
        <f t="shared" si="1"/>
        <v>8925.84</v>
      </c>
      <c r="G11" s="34" t="s">
        <v>15</v>
      </c>
    </row>
    <row r="12">
      <c r="A12" s="31">
        <v>8.0</v>
      </c>
      <c r="B12" s="36"/>
      <c r="C12" s="37">
        <v>8.0</v>
      </c>
      <c r="D12" s="37">
        <v>300.0</v>
      </c>
      <c r="E12" s="34">
        <v>7337.000000000001</v>
      </c>
      <c r="F12" s="34">
        <f t="shared" si="1"/>
        <v>8217.44</v>
      </c>
      <c r="G12" s="34" t="s">
        <v>16</v>
      </c>
    </row>
    <row r="13">
      <c r="A13" s="31">
        <v>8.0</v>
      </c>
      <c r="B13" s="36"/>
      <c r="C13" s="37">
        <v>8.0</v>
      </c>
      <c r="D13" s="37">
        <v>400.0</v>
      </c>
      <c r="E13" s="34">
        <v>7969.5</v>
      </c>
      <c r="F13" s="34">
        <f t="shared" si="1"/>
        <v>8925.84</v>
      </c>
      <c r="G13" s="34" t="s">
        <v>18</v>
      </c>
    </row>
    <row r="14">
      <c r="A14" s="31">
        <v>8.0</v>
      </c>
      <c r="B14" s="36"/>
      <c r="C14" s="37">
        <v>8.0</v>
      </c>
      <c r="D14" s="37">
        <v>500.0</v>
      </c>
      <c r="E14" s="34">
        <v>8728.5</v>
      </c>
      <c r="F14" s="34">
        <f t="shared" si="1"/>
        <v>9775.92</v>
      </c>
      <c r="G14" s="34" t="s">
        <v>20</v>
      </c>
    </row>
    <row r="15">
      <c r="A15" s="31">
        <v>8.0</v>
      </c>
      <c r="B15" s="38">
        <v>8.0</v>
      </c>
      <c r="C15" s="39"/>
      <c r="D15" s="38">
        <v>300.0</v>
      </c>
      <c r="E15" s="34">
        <v>24384.6</v>
      </c>
      <c r="F15" s="34">
        <f t="shared" si="1"/>
        <v>27310.752</v>
      </c>
      <c r="G15" s="35"/>
    </row>
    <row r="16">
      <c r="A16" s="31">
        <v>8.0</v>
      </c>
      <c r="B16" s="38">
        <v>8.0</v>
      </c>
      <c r="C16" s="39"/>
      <c r="D16" s="38">
        <v>400.0</v>
      </c>
      <c r="E16" s="34">
        <v>25069.999999999996</v>
      </c>
      <c r="F16" s="34">
        <f t="shared" si="1"/>
        <v>28078.4</v>
      </c>
      <c r="G16" s="35"/>
    </row>
    <row r="17">
      <c r="A17" s="31">
        <v>10.0</v>
      </c>
      <c r="B17" s="39"/>
      <c r="C17" s="38">
        <v>10.0</v>
      </c>
      <c r="D17" s="38">
        <v>300.0</v>
      </c>
      <c r="E17" s="34">
        <v>9993.5</v>
      </c>
      <c r="F17" s="34">
        <f t="shared" si="1"/>
        <v>11192.72</v>
      </c>
      <c r="G17" s="34" t="s">
        <v>79</v>
      </c>
    </row>
    <row r="18">
      <c r="A18" s="40"/>
      <c r="B18" s="39"/>
      <c r="C18" s="38">
        <v>10.0</v>
      </c>
      <c r="D18" s="38">
        <v>400.0</v>
      </c>
      <c r="E18" s="35"/>
      <c r="F18" s="34">
        <v>12280.0</v>
      </c>
      <c r="G18" s="35"/>
    </row>
    <row r="19">
      <c r="A19" s="31">
        <v>10.0</v>
      </c>
      <c r="B19" s="39"/>
      <c r="C19" s="38">
        <v>10.0</v>
      </c>
      <c r="D19" s="38">
        <v>800.0</v>
      </c>
      <c r="E19" s="34">
        <v>15014.0</v>
      </c>
      <c r="F19" s="35"/>
      <c r="G19" s="35"/>
    </row>
    <row r="20">
      <c r="A20" s="31">
        <v>12.0</v>
      </c>
      <c r="B20" s="39"/>
      <c r="C20" s="38">
        <v>12.0</v>
      </c>
      <c r="D20" s="38">
        <v>300.0</v>
      </c>
      <c r="E20" s="34">
        <v>12143.999999999998</v>
      </c>
      <c r="F20" s="34">
        <f t="shared" ref="F20:F25" si="2">E20*1.12</f>
        <v>13601.28</v>
      </c>
      <c r="G20" s="34" t="s">
        <v>22</v>
      </c>
    </row>
    <row r="21">
      <c r="A21" s="31">
        <v>12.0</v>
      </c>
      <c r="B21" s="39"/>
      <c r="C21" s="38">
        <v>12.0</v>
      </c>
      <c r="D21" s="38">
        <v>400.0</v>
      </c>
      <c r="E21" s="34">
        <v>13156.000000000002</v>
      </c>
      <c r="F21" s="34">
        <f t="shared" si="2"/>
        <v>14734.72</v>
      </c>
      <c r="G21" s="34" t="s">
        <v>23</v>
      </c>
    </row>
    <row r="22">
      <c r="A22" s="31">
        <v>12.0</v>
      </c>
      <c r="B22" s="39"/>
      <c r="C22" s="38">
        <v>12.0</v>
      </c>
      <c r="D22" s="38">
        <v>500.0</v>
      </c>
      <c r="E22" s="34">
        <v>14168.000000000002</v>
      </c>
      <c r="F22" s="34">
        <f t="shared" si="2"/>
        <v>15868.16</v>
      </c>
      <c r="G22" s="34" t="s">
        <v>25</v>
      </c>
    </row>
    <row r="23">
      <c r="A23" s="31">
        <v>14.0</v>
      </c>
      <c r="B23" s="41"/>
      <c r="C23" s="42">
        <v>14.0</v>
      </c>
      <c r="D23" s="42">
        <v>300.0</v>
      </c>
      <c r="E23" s="34">
        <v>14168.000000000002</v>
      </c>
      <c r="F23" s="34">
        <f t="shared" si="2"/>
        <v>15868.16</v>
      </c>
      <c r="G23" s="34" t="s">
        <v>27</v>
      </c>
    </row>
    <row r="24">
      <c r="A24" s="31">
        <v>14.0</v>
      </c>
      <c r="B24" s="41"/>
      <c r="C24" s="42">
        <v>14.0</v>
      </c>
      <c r="D24" s="42">
        <v>400.0</v>
      </c>
      <c r="E24" s="34">
        <v>15306.500000000002</v>
      </c>
      <c r="F24" s="34">
        <f t="shared" si="2"/>
        <v>17143.28</v>
      </c>
      <c r="G24" s="34" t="s">
        <v>28</v>
      </c>
    </row>
    <row r="25">
      <c r="A25" s="31">
        <v>14.0</v>
      </c>
      <c r="B25" s="41"/>
      <c r="C25" s="42">
        <v>14.0</v>
      </c>
      <c r="D25" s="42">
        <v>500.0</v>
      </c>
      <c r="E25" s="34">
        <v>16445.0</v>
      </c>
      <c r="F25" s="34">
        <f t="shared" si="2"/>
        <v>18418.4</v>
      </c>
      <c r="G25" s="34" t="s">
        <v>30</v>
      </c>
    </row>
    <row r="26">
      <c r="A26" s="31">
        <v>14.0</v>
      </c>
      <c r="B26" s="43"/>
      <c r="C26" s="44">
        <v>14.0</v>
      </c>
      <c r="D26" s="44">
        <v>800.0</v>
      </c>
      <c r="E26" s="34">
        <v>19228.0</v>
      </c>
      <c r="F26" s="34">
        <v>22730.0</v>
      </c>
      <c r="G26" s="35"/>
    </row>
    <row r="27">
      <c r="A27" s="31">
        <v>20.0</v>
      </c>
      <c r="B27" s="43"/>
      <c r="C27" s="44">
        <v>20.0</v>
      </c>
      <c r="D27" s="44">
        <v>300.0</v>
      </c>
      <c r="E27" s="34">
        <v>19228.0</v>
      </c>
      <c r="F27" s="34">
        <f t="shared" ref="F27:F47" si="3">E27*1.12</f>
        <v>21535.36</v>
      </c>
      <c r="G27" s="35"/>
    </row>
    <row r="28">
      <c r="A28" s="31">
        <v>4.0</v>
      </c>
      <c r="B28" s="44">
        <v>2.0</v>
      </c>
      <c r="C28" s="44">
        <v>2.0</v>
      </c>
      <c r="D28" s="44">
        <v>300.0</v>
      </c>
      <c r="E28" s="34">
        <v>6324.999999999999</v>
      </c>
      <c r="F28" s="34">
        <f t="shared" si="3"/>
        <v>7084</v>
      </c>
      <c r="G28" s="35"/>
    </row>
    <row r="29">
      <c r="A29" s="31">
        <v>4.0</v>
      </c>
      <c r="B29" s="44">
        <v>2.0</v>
      </c>
      <c r="C29" s="44">
        <v>2.0</v>
      </c>
      <c r="D29" s="44">
        <v>500.0</v>
      </c>
      <c r="E29" s="34">
        <v>6578.000000000001</v>
      </c>
      <c r="F29" s="34">
        <f t="shared" si="3"/>
        <v>7367.36</v>
      </c>
      <c r="G29" s="35"/>
    </row>
    <row r="30">
      <c r="A30" s="31">
        <v>4.0</v>
      </c>
      <c r="B30" s="44">
        <v>2.0</v>
      </c>
      <c r="C30" s="44">
        <v>2.0</v>
      </c>
      <c r="D30" s="44">
        <v>600.0</v>
      </c>
      <c r="E30" s="34">
        <v>6831.000000000001</v>
      </c>
      <c r="F30" s="34">
        <f t="shared" si="3"/>
        <v>7650.72</v>
      </c>
      <c r="G30" s="35"/>
    </row>
    <row r="31">
      <c r="A31" s="31">
        <v>6.0</v>
      </c>
      <c r="B31" s="44">
        <v>2.0</v>
      </c>
      <c r="C31" s="44">
        <v>4.0</v>
      </c>
      <c r="D31" s="44">
        <v>500.0</v>
      </c>
      <c r="E31" s="34">
        <v>9487.5</v>
      </c>
      <c r="F31" s="34">
        <f t="shared" si="3"/>
        <v>10626</v>
      </c>
      <c r="G31" s="35"/>
    </row>
    <row r="32">
      <c r="A32" s="31">
        <v>6.0</v>
      </c>
      <c r="B32" s="44">
        <v>2.0</v>
      </c>
      <c r="C32" s="44">
        <v>4.0</v>
      </c>
      <c r="D32" s="44">
        <v>600.0</v>
      </c>
      <c r="E32" s="34">
        <v>9993.5</v>
      </c>
      <c r="F32" s="34">
        <f t="shared" si="3"/>
        <v>11192.72</v>
      </c>
      <c r="G32" s="35"/>
    </row>
    <row r="33">
      <c r="A33" s="31">
        <v>8.0</v>
      </c>
      <c r="B33" s="44">
        <v>2.0</v>
      </c>
      <c r="C33" s="44">
        <v>6.0</v>
      </c>
      <c r="D33" s="44">
        <v>300.0</v>
      </c>
      <c r="E33" s="34">
        <v>10120.0</v>
      </c>
      <c r="F33" s="34">
        <f t="shared" si="3"/>
        <v>11334.4</v>
      </c>
      <c r="G33" s="34" t="s">
        <v>35</v>
      </c>
    </row>
    <row r="34">
      <c r="A34" s="31">
        <v>8.0</v>
      </c>
      <c r="B34" s="44">
        <v>2.0</v>
      </c>
      <c r="C34" s="44">
        <v>6.0</v>
      </c>
      <c r="D34" s="44">
        <v>500.0</v>
      </c>
      <c r="E34" s="34">
        <v>10752.5</v>
      </c>
      <c r="F34" s="34">
        <f t="shared" si="3"/>
        <v>12042.8</v>
      </c>
      <c r="G34" s="34" t="s">
        <v>36</v>
      </c>
    </row>
    <row r="35">
      <c r="A35" s="31">
        <v>8.0</v>
      </c>
      <c r="B35" s="45">
        <v>4.0</v>
      </c>
      <c r="C35" s="45">
        <v>4.0</v>
      </c>
      <c r="D35" s="45">
        <v>300.0</v>
      </c>
      <c r="E35" s="34">
        <v>14674.000000000002</v>
      </c>
      <c r="F35" s="34">
        <f t="shared" si="3"/>
        <v>16434.88</v>
      </c>
      <c r="G35" s="34" t="s">
        <v>38</v>
      </c>
    </row>
    <row r="36">
      <c r="A36" s="31">
        <v>8.0</v>
      </c>
      <c r="B36" s="45">
        <v>4.0</v>
      </c>
      <c r="C36" s="45">
        <v>4.0</v>
      </c>
      <c r="D36" s="45">
        <v>400.0</v>
      </c>
      <c r="E36" s="34">
        <v>15306.500000000002</v>
      </c>
      <c r="F36" s="34">
        <f t="shared" si="3"/>
        <v>17143.28</v>
      </c>
      <c r="G36" s="34" t="s">
        <v>39</v>
      </c>
    </row>
    <row r="37">
      <c r="A37" s="31">
        <v>10.0</v>
      </c>
      <c r="B37" s="46">
        <v>6.0</v>
      </c>
      <c r="C37" s="46">
        <v>4.0</v>
      </c>
      <c r="D37" s="46">
        <v>300.0</v>
      </c>
      <c r="E37" s="34">
        <v>20240.0</v>
      </c>
      <c r="F37" s="34">
        <f t="shared" si="3"/>
        <v>22668.8</v>
      </c>
      <c r="G37" s="34" t="s">
        <v>40</v>
      </c>
    </row>
    <row r="38">
      <c r="A38" s="31">
        <v>10.0</v>
      </c>
      <c r="B38" s="46">
        <v>6.0</v>
      </c>
      <c r="C38" s="46">
        <v>4.0</v>
      </c>
      <c r="D38" s="46">
        <v>400.0</v>
      </c>
      <c r="E38" s="34">
        <v>21125.5</v>
      </c>
      <c r="F38" s="34">
        <f t="shared" si="3"/>
        <v>23660.56</v>
      </c>
      <c r="G38" s="34" t="s">
        <v>42</v>
      </c>
    </row>
    <row r="39">
      <c r="A39" s="31">
        <v>10.0</v>
      </c>
      <c r="B39" s="46">
        <v>2.0</v>
      </c>
      <c r="C39" s="46">
        <v>8.0</v>
      </c>
      <c r="D39" s="46">
        <v>300.0</v>
      </c>
      <c r="E39" s="34">
        <v>13156.000000000002</v>
      </c>
      <c r="F39" s="34">
        <f t="shared" si="3"/>
        <v>14734.72</v>
      </c>
      <c r="G39" s="34" t="s">
        <v>43</v>
      </c>
    </row>
    <row r="40">
      <c r="A40" s="31">
        <v>12.0</v>
      </c>
      <c r="B40" s="47">
        <v>2.0</v>
      </c>
      <c r="C40" s="47">
        <v>10.0</v>
      </c>
      <c r="D40" s="47">
        <v>300.0</v>
      </c>
      <c r="E40" s="34">
        <v>16318.5</v>
      </c>
      <c r="F40" s="34">
        <f t="shared" si="3"/>
        <v>18276.72</v>
      </c>
      <c r="G40" s="34" t="s">
        <v>80</v>
      </c>
    </row>
    <row r="41">
      <c r="A41" s="31">
        <v>12.0</v>
      </c>
      <c r="B41" s="47">
        <v>2.0</v>
      </c>
      <c r="C41" s="47">
        <v>10.0</v>
      </c>
      <c r="D41" s="47">
        <v>400.0</v>
      </c>
      <c r="E41" s="34">
        <v>17457.0</v>
      </c>
      <c r="F41" s="34">
        <f t="shared" si="3"/>
        <v>19551.84</v>
      </c>
      <c r="G41" s="34" t="s">
        <v>81</v>
      </c>
    </row>
    <row r="42">
      <c r="A42" s="31">
        <v>12.0</v>
      </c>
      <c r="B42" s="48">
        <v>4.0</v>
      </c>
      <c r="C42" s="48">
        <v>8.0</v>
      </c>
      <c r="D42" s="48">
        <v>300.0</v>
      </c>
      <c r="E42" s="34">
        <v>18722.0</v>
      </c>
      <c r="F42" s="34">
        <f t="shared" si="3"/>
        <v>20968.64</v>
      </c>
      <c r="G42" s="34" t="s">
        <v>82</v>
      </c>
    </row>
    <row r="43">
      <c r="A43" s="31">
        <v>12.0</v>
      </c>
      <c r="B43" s="48">
        <v>8.0</v>
      </c>
      <c r="C43" s="48">
        <v>4.0</v>
      </c>
      <c r="D43" s="48">
        <v>300.0</v>
      </c>
      <c r="E43" s="34">
        <v>26413.199999999997</v>
      </c>
      <c r="F43" s="34">
        <f t="shared" si="3"/>
        <v>29582.784</v>
      </c>
      <c r="G43" s="35"/>
    </row>
    <row r="44">
      <c r="A44" s="31">
        <v>12.0</v>
      </c>
      <c r="B44" s="48">
        <v>8.0</v>
      </c>
      <c r="C44" s="48">
        <v>4.0</v>
      </c>
      <c r="D44" s="48">
        <v>400.0</v>
      </c>
      <c r="E44" s="34">
        <v>27197.500000000004</v>
      </c>
      <c r="F44" s="34">
        <f t="shared" si="3"/>
        <v>30461.2</v>
      </c>
      <c r="G44" s="34" t="s">
        <v>46</v>
      </c>
    </row>
    <row r="45">
      <c r="A45" s="31">
        <v>20.0</v>
      </c>
      <c r="B45" s="46">
        <v>2.0</v>
      </c>
      <c r="C45" s="46">
        <v>18.0</v>
      </c>
      <c r="D45" s="46">
        <v>300.0</v>
      </c>
      <c r="E45" s="34">
        <v>23689.999999999996</v>
      </c>
      <c r="F45" s="34">
        <f t="shared" si="3"/>
        <v>26532.8</v>
      </c>
      <c r="G45" s="49">
        <v>300.0</v>
      </c>
    </row>
    <row r="46">
      <c r="A46" s="31">
        <v>32.0</v>
      </c>
      <c r="B46" s="46">
        <v>0.0</v>
      </c>
      <c r="C46" s="46">
        <v>32.0</v>
      </c>
      <c r="D46" s="46">
        <v>300.0</v>
      </c>
      <c r="E46" s="34">
        <v>30704.999999999996</v>
      </c>
      <c r="F46" s="34">
        <f t="shared" si="3"/>
        <v>34389.6</v>
      </c>
      <c r="G46" s="49">
        <v>300.0</v>
      </c>
    </row>
    <row r="47">
      <c r="A47" s="31">
        <v>16.0</v>
      </c>
      <c r="B47" s="46">
        <v>0.0</v>
      </c>
      <c r="C47" s="46">
        <v>16.0</v>
      </c>
      <c r="D47" s="46">
        <v>300.0</v>
      </c>
      <c r="E47" s="34">
        <v>15432.999999999998</v>
      </c>
      <c r="F47" s="34">
        <f t="shared" si="3"/>
        <v>17284.96</v>
      </c>
      <c r="G47" s="50"/>
    </row>
    <row r="48">
      <c r="A48" s="31">
        <v>24.0</v>
      </c>
      <c r="B48" s="46">
        <v>0.0</v>
      </c>
      <c r="C48" s="46">
        <v>24.0</v>
      </c>
      <c r="D48" s="46">
        <v>500.0</v>
      </c>
      <c r="E48" s="28"/>
      <c r="F48" s="51">
        <v>32160.0</v>
      </c>
      <c r="G48" s="28"/>
    </row>
    <row r="49">
      <c r="A49" s="31">
        <v>20.0</v>
      </c>
      <c r="B49" s="46">
        <v>0.0</v>
      </c>
      <c r="C49" s="46">
        <v>20.0</v>
      </c>
      <c r="D49" s="46">
        <v>900.0</v>
      </c>
      <c r="E49" s="28"/>
      <c r="F49" s="51">
        <v>35760.0</v>
      </c>
      <c r="G49" s="7"/>
    </row>
  </sheetData>
  <mergeCells count="1">
    <mergeCell ref="A1:D1"/>
  </mergeCells>
  <drawing r:id="rId1"/>
</worksheet>
</file>